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faltynowski/Documents/Repositories/time-series-labs/labs/02_base_versus_real_prices/excel/"/>
    </mc:Choice>
  </mc:AlternateContent>
  <xr:revisionPtr revIDLastSave="0" documentId="13_ncr:1_{ADBE8FD2-C2D9-8E40-AD8D-6D19A00B40DA}" xr6:coauthVersionLast="47" xr6:coauthVersionMax="47" xr10:uidLastSave="{00000000-0000-0000-0000-000000000000}"/>
  <bookViews>
    <workbookView xWindow="380" yWindow="500" windowWidth="28040" windowHeight="16020" xr2:uid="{89C6EF17-6D7C-1E4E-801A-59B52683BE08}"/>
  </bookViews>
  <sheets>
    <sheet name="Poland GVA" sheetId="2" r:id="rId1"/>
    <sheet name="Indicators" sheetId="3" r:id="rId2"/>
  </sheets>
  <definedNames>
    <definedName name="ExternalData_1" localSheetId="0" hidden="1">'Poland GVA'!$A$1:$D$123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3" i="2"/>
  <c r="C7" i="2"/>
  <c r="C11" i="2" s="1"/>
  <c r="C15" i="2" s="1"/>
  <c r="C19" i="2" s="1"/>
  <c r="C23" i="2" s="1"/>
  <c r="C27" i="2" s="1"/>
  <c r="C31" i="2" s="1"/>
  <c r="C35" i="2" s="1"/>
  <c r="C39" i="2" s="1"/>
  <c r="C43" i="2" s="1"/>
  <c r="C47" i="2" s="1"/>
  <c r="C51" i="2" s="1"/>
  <c r="C55" i="2" s="1"/>
  <c r="C59" i="2" s="1"/>
  <c r="C63" i="2" s="1"/>
  <c r="C67" i="2" s="1"/>
  <c r="C71" i="2" s="1"/>
  <c r="C75" i="2" s="1"/>
  <c r="C79" i="2" s="1"/>
  <c r="C83" i="2" s="1"/>
  <c r="C87" i="2" s="1"/>
  <c r="C91" i="2" s="1"/>
  <c r="C95" i="2" s="1"/>
  <c r="C99" i="2" s="1"/>
  <c r="C103" i="2" s="1"/>
  <c r="C107" i="2" s="1"/>
  <c r="C111" i="2" s="1"/>
  <c r="C115" i="2" s="1"/>
  <c r="C119" i="2" s="1"/>
  <c r="C123" i="2" s="1"/>
  <c r="C8" i="2"/>
  <c r="C12" i="2" s="1"/>
  <c r="C16" i="2" s="1"/>
  <c r="C20" i="2" s="1"/>
  <c r="C24" i="2" s="1"/>
  <c r="C28" i="2" s="1"/>
  <c r="C32" i="2" s="1"/>
  <c r="C36" i="2" s="1"/>
  <c r="C40" i="2" s="1"/>
  <c r="C44" i="2" s="1"/>
  <c r="C48" i="2" s="1"/>
  <c r="C52" i="2" s="1"/>
  <c r="C56" i="2" s="1"/>
  <c r="C60" i="2" s="1"/>
  <c r="C64" i="2" s="1"/>
  <c r="C68" i="2" s="1"/>
  <c r="C72" i="2" s="1"/>
  <c r="C76" i="2" s="1"/>
  <c r="C80" i="2" s="1"/>
  <c r="C84" i="2" s="1"/>
  <c r="C88" i="2" s="1"/>
  <c r="C92" i="2" s="1"/>
  <c r="C96" i="2" s="1"/>
  <c r="C100" i="2" s="1"/>
  <c r="C104" i="2" s="1"/>
  <c r="C108" i="2" s="1"/>
  <c r="C112" i="2" s="1"/>
  <c r="C116" i="2" s="1"/>
  <c r="C120" i="2" s="1"/>
  <c r="C9" i="2"/>
  <c r="C13" i="2" s="1"/>
  <c r="C17" i="2" s="1"/>
  <c r="C21" i="2" s="1"/>
  <c r="C25" i="2" s="1"/>
  <c r="C29" i="2" s="1"/>
  <c r="C33" i="2" s="1"/>
  <c r="C37" i="2" s="1"/>
  <c r="C41" i="2" s="1"/>
  <c r="C45" i="2" s="1"/>
  <c r="C49" i="2" s="1"/>
  <c r="C53" i="2" s="1"/>
  <c r="C57" i="2" s="1"/>
  <c r="C61" i="2" s="1"/>
  <c r="C65" i="2" s="1"/>
  <c r="C69" i="2" s="1"/>
  <c r="C73" i="2" s="1"/>
  <c r="C77" i="2" s="1"/>
  <c r="C81" i="2" s="1"/>
  <c r="C85" i="2" s="1"/>
  <c r="C89" i="2" s="1"/>
  <c r="C93" i="2" s="1"/>
  <c r="C97" i="2" s="1"/>
  <c r="C101" i="2" s="1"/>
  <c r="C105" i="2" s="1"/>
  <c r="C109" i="2" s="1"/>
  <c r="C113" i="2" s="1"/>
  <c r="C117" i="2" s="1"/>
  <c r="C121" i="2" s="1"/>
  <c r="C6" i="2"/>
  <c r="C10" i="2" s="1"/>
  <c r="C14" i="2" s="1"/>
  <c r="C18" i="2" s="1"/>
  <c r="C22" i="2" s="1"/>
  <c r="C26" i="2" s="1"/>
  <c r="C30" i="2" s="1"/>
  <c r="C34" i="2" s="1"/>
  <c r="C38" i="2" s="1"/>
  <c r="C42" i="2" s="1"/>
  <c r="C46" i="2" s="1"/>
  <c r="C50" i="2" s="1"/>
  <c r="C54" i="2" s="1"/>
  <c r="C58" i="2" s="1"/>
  <c r="C62" i="2" s="1"/>
  <c r="C66" i="2" s="1"/>
  <c r="C70" i="2" s="1"/>
  <c r="C74" i="2" s="1"/>
  <c r="C78" i="2" s="1"/>
  <c r="C82" i="2" s="1"/>
  <c r="C86" i="2" s="1"/>
  <c r="C90" i="2" s="1"/>
  <c r="C94" i="2" s="1"/>
  <c r="C98" i="2" s="1"/>
  <c r="C102" i="2" s="1"/>
  <c r="C106" i="2" s="1"/>
  <c r="C110" i="2" s="1"/>
  <c r="C114" i="2" s="1"/>
  <c r="C118" i="2" s="1"/>
  <c r="C122" i="2" s="1"/>
  <c r="B7" i="2"/>
  <c r="B11" i="2" s="1"/>
  <c r="B15" i="2" s="1"/>
  <c r="B19" i="2" s="1"/>
  <c r="B23" i="2" s="1"/>
  <c r="B27" i="2" s="1"/>
  <c r="B31" i="2" s="1"/>
  <c r="B35" i="2" s="1"/>
  <c r="B39" i="2" s="1"/>
  <c r="B43" i="2" s="1"/>
  <c r="B47" i="2" s="1"/>
  <c r="B51" i="2" s="1"/>
  <c r="B55" i="2" s="1"/>
  <c r="B59" i="2" s="1"/>
  <c r="B63" i="2" s="1"/>
  <c r="B67" i="2" s="1"/>
  <c r="B71" i="2" s="1"/>
  <c r="B75" i="2" s="1"/>
  <c r="B79" i="2" s="1"/>
  <c r="B83" i="2" s="1"/>
  <c r="B87" i="2" s="1"/>
  <c r="B91" i="2" s="1"/>
  <c r="B95" i="2" s="1"/>
  <c r="B99" i="2" s="1"/>
  <c r="B103" i="2" s="1"/>
  <c r="B107" i="2" s="1"/>
  <c r="B111" i="2" s="1"/>
  <c r="B115" i="2" s="1"/>
  <c r="B119" i="2" s="1"/>
  <c r="B123" i="2" s="1"/>
  <c r="B8" i="2"/>
  <c r="B12" i="2" s="1"/>
  <c r="B16" i="2" s="1"/>
  <c r="B20" i="2" s="1"/>
  <c r="B24" i="2" s="1"/>
  <c r="B28" i="2" s="1"/>
  <c r="B32" i="2" s="1"/>
  <c r="B36" i="2" s="1"/>
  <c r="B40" i="2" s="1"/>
  <c r="B44" i="2" s="1"/>
  <c r="B48" i="2" s="1"/>
  <c r="B52" i="2" s="1"/>
  <c r="B56" i="2" s="1"/>
  <c r="B60" i="2" s="1"/>
  <c r="B64" i="2" s="1"/>
  <c r="B68" i="2" s="1"/>
  <c r="B72" i="2" s="1"/>
  <c r="B76" i="2" s="1"/>
  <c r="B80" i="2" s="1"/>
  <c r="B84" i="2" s="1"/>
  <c r="B88" i="2" s="1"/>
  <c r="B92" i="2" s="1"/>
  <c r="B96" i="2" s="1"/>
  <c r="B100" i="2" s="1"/>
  <c r="B104" i="2" s="1"/>
  <c r="B108" i="2" s="1"/>
  <c r="B112" i="2" s="1"/>
  <c r="B116" i="2" s="1"/>
  <c r="B120" i="2" s="1"/>
  <c r="B9" i="2"/>
  <c r="B13" i="2" s="1"/>
  <c r="B17" i="2" s="1"/>
  <c r="B21" i="2" s="1"/>
  <c r="B25" i="2" s="1"/>
  <c r="B29" i="2" s="1"/>
  <c r="B33" i="2" s="1"/>
  <c r="B37" i="2" s="1"/>
  <c r="B41" i="2" s="1"/>
  <c r="B45" i="2" s="1"/>
  <c r="B49" i="2" s="1"/>
  <c r="B53" i="2" s="1"/>
  <c r="B57" i="2" s="1"/>
  <c r="B61" i="2" s="1"/>
  <c r="B65" i="2" s="1"/>
  <c r="B69" i="2" s="1"/>
  <c r="B73" i="2" s="1"/>
  <c r="B77" i="2" s="1"/>
  <c r="B81" i="2" s="1"/>
  <c r="B85" i="2" s="1"/>
  <c r="B89" i="2" s="1"/>
  <c r="B93" i="2" s="1"/>
  <c r="B97" i="2" s="1"/>
  <c r="B101" i="2" s="1"/>
  <c r="B105" i="2" s="1"/>
  <c r="B109" i="2" s="1"/>
  <c r="B113" i="2" s="1"/>
  <c r="B117" i="2" s="1"/>
  <c r="B121" i="2" s="1"/>
  <c r="B6" i="2"/>
  <c r="B10" i="2" s="1"/>
  <c r="B14" i="2" s="1"/>
  <c r="B18" i="2" s="1"/>
  <c r="B22" i="2" s="1"/>
  <c r="B26" i="2" s="1"/>
  <c r="B30" i="2" s="1"/>
  <c r="B34" i="2" s="1"/>
  <c r="B38" i="2" s="1"/>
  <c r="B42" i="2" s="1"/>
  <c r="B46" i="2" s="1"/>
  <c r="B50" i="2" s="1"/>
  <c r="B54" i="2" s="1"/>
  <c r="B58" i="2" s="1"/>
  <c r="B62" i="2" s="1"/>
  <c r="B66" i="2" s="1"/>
  <c r="B70" i="2" s="1"/>
  <c r="B74" i="2" s="1"/>
  <c r="B78" i="2" s="1"/>
  <c r="B82" i="2" s="1"/>
  <c r="B86" i="2" s="1"/>
  <c r="B90" i="2" s="1"/>
  <c r="B94" i="2" s="1"/>
  <c r="B98" i="2" s="1"/>
  <c r="B102" i="2" s="1"/>
  <c r="B106" i="2" s="1"/>
  <c r="B110" i="2" s="1"/>
  <c r="B114" i="2" s="1"/>
  <c r="B118" i="2" s="1"/>
  <c r="B122" i="2" s="1"/>
  <c r="B5" i="3" l="1"/>
  <c r="B3" i="3"/>
  <c r="B4" i="3"/>
  <c r="B2" i="3"/>
  <c r="A8" i="3" l="1"/>
  <c r="C2" i="3" s="1" a="1"/>
  <c r="C2" i="3" s="1"/>
  <c r="C5" i="3" l="1" a="1"/>
  <c r="C5" i="3" s="1"/>
  <c r="C3" i="3" a="1"/>
  <c r="C3" i="3" s="1"/>
  <c r="C4" i="3" a="1"/>
  <c r="C4" i="3" s="1"/>
  <c r="F90" i="2"/>
  <c r="F26" i="2"/>
  <c r="F62" i="2"/>
  <c r="F98" i="2"/>
  <c r="F46" i="2"/>
  <c r="F30" i="2"/>
  <c r="F82" i="2"/>
  <c r="F18" i="2"/>
  <c r="F118" i="2"/>
  <c r="F54" i="2"/>
  <c r="F74" i="2"/>
  <c r="F10" i="2"/>
  <c r="F110" i="2"/>
  <c r="F66" i="2"/>
  <c r="F122" i="2"/>
  <c r="F114" i="2"/>
  <c r="F102" i="2"/>
  <c r="F38" i="2"/>
  <c r="F58" i="2"/>
  <c r="F94" i="2"/>
  <c r="F50" i="2"/>
  <c r="F86" i="2"/>
  <c r="F22" i="2"/>
  <c r="F78" i="2"/>
  <c r="F42" i="2"/>
  <c r="F14" i="2"/>
  <c r="F34" i="2"/>
  <c r="F106" i="2"/>
  <c r="F70" i="2"/>
  <c r="F6" i="2"/>
  <c r="F56" i="2" l="1"/>
  <c r="F88" i="2"/>
  <c r="F68" i="2"/>
  <c r="F4" i="2"/>
  <c r="F100" i="2"/>
  <c r="F36" i="2"/>
  <c r="F84" i="2"/>
  <c r="F48" i="2"/>
  <c r="F112" i="2"/>
  <c r="F60" i="2"/>
  <c r="F40" i="2"/>
  <c r="F104" i="2"/>
  <c r="F116" i="2"/>
  <c r="F52" i="2"/>
  <c r="F32" i="2"/>
  <c r="F108" i="2"/>
  <c r="F44" i="2"/>
  <c r="F120" i="2"/>
  <c r="F24" i="2"/>
  <c r="F96" i="2"/>
  <c r="F16" i="2"/>
  <c r="F92" i="2"/>
  <c r="F28" i="2"/>
  <c r="F72" i="2"/>
  <c r="F8" i="2"/>
  <c r="F20" i="2"/>
  <c r="F12" i="2"/>
  <c r="F64" i="2"/>
  <c r="F80" i="2"/>
  <c r="F76" i="2"/>
  <c r="F3" i="2"/>
  <c r="F67" i="2"/>
  <c r="F55" i="2"/>
  <c r="F111" i="2"/>
  <c r="F123" i="2"/>
  <c r="F59" i="2"/>
  <c r="F119" i="2"/>
  <c r="F47" i="2"/>
  <c r="F115" i="2"/>
  <c r="F51" i="2"/>
  <c r="F103" i="2"/>
  <c r="F39" i="2"/>
  <c r="F107" i="2"/>
  <c r="F43" i="2"/>
  <c r="F95" i="2"/>
  <c r="F31" i="2"/>
  <c r="F99" i="2"/>
  <c r="F35" i="2"/>
  <c r="F87" i="2"/>
  <c r="F23" i="2"/>
  <c r="F91" i="2"/>
  <c r="F27" i="2"/>
  <c r="F79" i="2"/>
  <c r="F15" i="2"/>
  <c r="F71" i="2"/>
  <c r="F7" i="2"/>
  <c r="F83" i="2"/>
  <c r="F19" i="2"/>
  <c r="F75" i="2"/>
  <c r="F11" i="2"/>
  <c r="F63" i="2"/>
  <c r="F89" i="2"/>
  <c r="F25" i="2"/>
  <c r="F77" i="2"/>
  <c r="F13" i="2"/>
  <c r="F61" i="2"/>
  <c r="F21" i="2"/>
  <c r="F81" i="2"/>
  <c r="F17" i="2"/>
  <c r="F69" i="2"/>
  <c r="F5" i="2"/>
  <c r="F73" i="2"/>
  <c r="F9" i="2"/>
  <c r="F65" i="2"/>
  <c r="F117" i="2"/>
  <c r="F53" i="2"/>
  <c r="F121" i="2"/>
  <c r="F57" i="2"/>
  <c r="F109" i="2"/>
  <c r="F45" i="2"/>
  <c r="F113" i="2"/>
  <c r="F49" i="2"/>
  <c r="F101" i="2"/>
  <c r="F37" i="2"/>
  <c r="F41" i="2"/>
  <c r="F93" i="2"/>
  <c r="F105" i="2"/>
  <c r="F29" i="2"/>
  <c r="F97" i="2"/>
  <c r="F33" i="2"/>
  <c r="F8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9562F-7A35-074C-8F43-2D2D9DBFA88F}" keepAlive="1" name="Query - Sheet 1" description="Connection to the 'Sheet 1' query in the workbook." type="5" refreshedVersion="8" background="1" saveData="1">
    <dbPr connection="Provider=Microsoft.Mashup.OleDb.1;Data Source=$Workbook$;Location=&quot;Sheet 1&quot;;Extended Properties=&quot;&quot;" command="SELECT * FROM [Sheet 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<sst xmlns="http://schemas.openxmlformats.org/spreadsheetml/2006/main" count="132" uniqueCount="131">
  <si>
    <t>TIME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</si>
  <si>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</si>
  <si>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</si>
  <si>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</si>
  <si>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</si>
  <si>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</si>
  <si>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</si>
  <si>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</si>
  <si>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</si>
  <si>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</si>
  <si>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</si>
  <si>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</si>
  <si>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</si>
  <si>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</si>
  <si>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</si>
  <si>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</si>
  <si>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</si>
  <si>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</si>
  <si>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</si>
  <si>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</si>
  <si>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</si>
  <si>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</si>
  <si>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</si>
  <si>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</si>
  <si>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</si>
  <si>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</si>
  <si>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</si>
  <si>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</si>
  <si>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</si>
  <si>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</si>
  <si>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</si>
  <si>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</si>
  <si>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</si>
  <si>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</si>
  <si>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</si>
  <si>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</si>
  <si>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</si>
  <si>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</si>
  <si>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</si>
  <si>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</si>
  <si>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</si>
  <si>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</si>
  <si>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</si>
  <si>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</si>
  <si>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</si>
  <si>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</si>
  <si>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</si>
  <si>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</si>
  <si>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</si>
  <si>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</si>
  <si>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</si>
  <si>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</si>
  <si>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</si>
  <si>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</si>
  <si>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</si>
  <si>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</si>
  <si>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</si>
  <si>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</si>
  <si>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</si>
  <si>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</si>
  <si>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</si>
  <si>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</si>
  <si>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</si>
  <si>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</si>
  <si>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</si>
  <si>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</si>
  <si>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</si>
  <si>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</si>
  <si>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</si>
  <si>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</si>
  <si>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</si>
  <si>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</si>
  <si>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</si>
  <si>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</si>
  <si>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</si>
  <si>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</si>
  <si>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</si>
  <si>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</si>
  <si>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</si>
  <si>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</si>
  <si>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</si>
  <si>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</si>
  <si>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</si>
  <si>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</si>
  <si>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</si>
  <si>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</si>
  <si>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</si>
  <si>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</si>
  <si>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</si>
  <si>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</si>
  <si>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</si>
  <si>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</si>
  <si>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</si>
  <si>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</si>
  <si>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</si>
  <si>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</si>
  <si>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</si>
  <si>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</si>
  <si>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</si>
  <si>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</si>
  <si>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</si>
  <si>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</si>
  <si>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</si>
  <si>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</si>
  <si>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</si>
  <si>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</si>
  <si>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</si>
  <si>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</si>
  <si>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</si>
  <si>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</si>
  <si>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</si>
  <si>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</si>
  <si>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</si>
  <si>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</si>
  <si>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</si>
  <si>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</si>
  <si>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</si>
  <si>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</si>
  <si>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</si>
  <si>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</si>
  <si>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</si>
  <si>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</si>
  <si>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</si>
  <si>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GVA</t>
  </si>
  <si>
    <t>YEAR</t>
  </si>
  <si>
    <t>QUARTER</t>
  </si>
  <si>
    <t>GVA_NOTREND</t>
  </si>
  <si>
    <t>RAW</t>
  </si>
  <si>
    <t>CLEANED</t>
  </si>
  <si>
    <t>AVERAGE_RAW_INDICATORS</t>
  </si>
  <si>
    <t>GVA_NOTREND_NOSEASON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</si>
</sst>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PLN&quot;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64" formatCode="#,##0.00\ &quot;PLN&quot;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Poland's GVA2020 in 2015 Time Series from 2017-Q1 to 2025-Q2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GVA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'Poland GVA'!$A$90:$A$123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'Poland GVA'!$D$90:$D$123</c:f>
              <c:numCache>
                <c:formatCode>#\ ##0.00\ "PLN"</c:formatCode>
                <c:ptCount val="34"/>
                <c:pt idx="0">
                  <c:v>408404.52970499807</c:v>
                </c:pt>
                <c:pt idx="1">
                  <c:v>416469.89628557506</c:v>
                </c:pt>
                <c:pt idx="2">
                  <c:v>424010.54562169209</c:v>
                </c:pt>
                <c:pt idx="3">
                  <c:v>486928.73235859181</c:v>
                </c:pt>
                <c:pt idx="4">
                  <c:v>433115.57103785081</c:v>
                </c:pt>
                <c:pt idx="5">
                  <c:v>444222.88559748005</c:v>
                </c:pt>
                <c:pt idx="6">
                  <c:v>452638.63693798537</c:v>
                </c:pt>
                <c:pt idx="7">
                  <c:v>514183.88747271692</c:v>
                </c:pt>
                <c:pt idx="8">
                  <c:v>454562.44930882409</c:v>
                </c:pt>
                <c:pt idx="9">
                  <c:v>466250.41957368207</c:v>
                </c:pt>
                <c:pt idx="10">
                  <c:v>473887.82977478579</c:v>
                </c:pt>
                <c:pt idx="11">
                  <c:v>532085.1905871022</c:v>
                </c:pt>
                <c:pt idx="12">
                  <c:v>466694.03510155826</c:v>
                </c:pt>
                <c:pt idx="13">
                  <c:v>430386.98705747386</c:v>
                </c:pt>
                <c:pt idx="14">
                  <c:v>466743.81852133624</c:v>
                </c:pt>
                <c:pt idx="15">
                  <c:v>523264.65478614747</c:v>
                </c:pt>
                <c:pt idx="16">
                  <c:v>466327.81016260968</c:v>
                </c:pt>
                <c:pt idx="17">
                  <c:v>477833.57311108016</c:v>
                </c:pt>
                <c:pt idx="18">
                  <c:v>496970.86276558961</c:v>
                </c:pt>
                <c:pt idx="19">
                  <c:v>571058.36704856937</c:v>
                </c:pt>
                <c:pt idx="20">
                  <c:v>510172.33950700698</c:v>
                </c:pt>
                <c:pt idx="21">
                  <c:v>505518.04233430885</c:v>
                </c:pt>
                <c:pt idx="22">
                  <c:v>527594.72612312797</c:v>
                </c:pt>
                <c:pt idx="23">
                  <c:v>578690.25581584312</c:v>
                </c:pt>
                <c:pt idx="24">
                  <c:v>509811.99806312309</c:v>
                </c:pt>
                <c:pt idx="25">
                  <c:v>505479.12075157335</c:v>
                </c:pt>
                <c:pt idx="26">
                  <c:v>535661.3599180266</c:v>
                </c:pt>
                <c:pt idx="27">
                  <c:v>598689.07017843786</c:v>
                </c:pt>
                <c:pt idx="28">
                  <c:v>515285.73032536684</c:v>
                </c:pt>
                <c:pt idx="29">
                  <c:v>526294.02113729226</c:v>
                </c:pt>
                <c:pt idx="30">
                  <c:v>537227.54630424199</c:v>
                </c:pt>
                <c:pt idx="31">
                  <c:v>615363.43828356743</c:v>
                </c:pt>
                <c:pt idx="32">
                  <c:v>525950.24399489805</c:v>
                </c:pt>
                <c:pt idx="33">
                  <c:v>537707.54898621037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E-6149-A80A-D41AD9E255D4}"/>
            </c:ext>
          </c:extLst>
        </c:ser>
        <c:ser>
          <c:idx val="1"/>
          <c:order val="1"/>
          <c:tx>
            <c:v>GVA (no trend)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'Poland GVA'!$A$90:$A$123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'Poland GVA'!$E$90:$E$123</c:f>
              <c:numCache>
                <c:formatCode>#\ ##0.00\ "PLN"</c:formatCode>
                <c:ptCount val="34"/>
                <c:pt idx="0">
                  <c:v>-61544.978988805437</c:v>
                </c:pt>
                <c:pt idx="1">
                  <c:v>8065.3665805769851</c:v>
                </c:pt>
                <c:pt idx="2">
                  <c:v>7540.6493361170287</c:v>
                </c:pt>
                <c:pt idx="3">
                  <c:v>62918.186736899719</c:v>
                </c:pt>
                <c:pt idx="4">
                  <c:v>-53813.161320740997</c:v>
                </c:pt>
                <c:pt idx="5">
                  <c:v>11107.314559629245</c:v>
                </c:pt>
                <c:pt idx="6">
                  <c:v>8415.7513405053178</c:v>
                </c:pt>
                <c:pt idx="7">
                  <c:v>61545.250534731545</c:v>
                </c:pt>
                <c:pt idx="8">
                  <c:v>-59621.438163892832</c:v>
                </c:pt>
                <c:pt idx="9">
                  <c:v>11687.970264857984</c:v>
                </c:pt>
                <c:pt idx="10">
                  <c:v>7637.4102011037176</c:v>
                </c:pt>
                <c:pt idx="11">
                  <c:v>58197.360812316416</c:v>
                </c:pt>
                <c:pt idx="12">
                  <c:v>-65391.155485543946</c:v>
                </c:pt>
                <c:pt idx="13">
                  <c:v>-36307.048044084397</c:v>
                </c:pt>
                <c:pt idx="14">
                  <c:v>36356.831463862385</c:v>
                </c:pt>
                <c:pt idx="15">
                  <c:v>56520.836264811223</c:v>
                </c:pt>
                <c:pt idx="16">
                  <c:v>-56936.844623537792</c:v>
                </c:pt>
                <c:pt idx="17">
                  <c:v>11505.762948470481</c:v>
                </c:pt>
                <c:pt idx="18">
                  <c:v>19137.289654509455</c:v>
                </c:pt>
                <c:pt idx="19">
                  <c:v>74087.50428297976</c:v>
                </c:pt>
                <c:pt idx="20">
                  <c:v>-60886.027541562391</c:v>
                </c:pt>
                <c:pt idx="21">
                  <c:v>-4654.2971726981341</c:v>
                </c:pt>
                <c:pt idx="22">
                  <c:v>22076.683788819122</c:v>
                </c:pt>
                <c:pt idx="23">
                  <c:v>51095.52969271515</c:v>
                </c:pt>
                <c:pt idx="24">
                  <c:v>-68878.257752720034</c:v>
                </c:pt>
                <c:pt idx="25">
                  <c:v>-4332.8773115497315</c:v>
                </c:pt>
                <c:pt idx="26">
                  <c:v>30182.239166453248</c:v>
                </c:pt>
                <c:pt idx="27">
                  <c:v>63027.710260411259</c:v>
                </c:pt>
                <c:pt idx="28">
                  <c:v>-83403.339853071026</c:v>
                </c:pt>
                <c:pt idx="29">
                  <c:v>11008.290811925428</c:v>
                </c:pt>
                <c:pt idx="30">
                  <c:v>10933.525166949723</c:v>
                </c:pt>
                <c:pt idx="31">
                  <c:v>78135.891979325446</c:v>
                </c:pt>
                <c:pt idx="32">
                  <c:v>-89413.194288669387</c:v>
                </c:pt>
                <c:pt idx="33">
                  <c:v>11757.304991312325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1E-6149-A80A-D41AD9E255D4}"/>
            </c:ext>
          </c:extLst>
        </c:ser>
        <c:ser>
          <c:idx val="2"/>
          <c:order val="2"/>
          <c:tx>
            <c:v>GVA (no trend &amp; no seasonality)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'Poland GVA'!$A$90:$A$123</c:f>
              <c:strCache>
                <c:ptCount val="34"/>
                <c:pt idx="0">
                  <c:v>2017-Q1</c:v>
                </c:pt>
                <c:pt idx="1">
                  <c:v>2017-Q2</c:v>
                </c:pt>
                <c:pt idx="2">
                  <c:v>2017-Q3</c:v>
                </c:pt>
                <c:pt idx="3">
                  <c:v>2017-Q4</c:v>
                </c:pt>
                <c:pt idx="4">
                  <c:v>2018-Q1</c:v>
                </c:pt>
                <c:pt idx="5">
                  <c:v>2018-Q2</c:v>
                </c:pt>
                <c:pt idx="6">
                  <c:v>2018-Q3</c:v>
                </c:pt>
                <c:pt idx="7">
                  <c:v>2018-Q4</c:v>
                </c:pt>
                <c:pt idx="8">
                  <c:v>2019-Q1</c:v>
                </c:pt>
                <c:pt idx="9">
                  <c:v>2019-Q2</c:v>
                </c:pt>
                <c:pt idx="10">
                  <c:v>2019-Q3</c:v>
                </c:pt>
                <c:pt idx="11">
                  <c:v>2019-Q4</c:v>
                </c:pt>
                <c:pt idx="12">
                  <c:v>2020-Q1</c:v>
                </c:pt>
                <c:pt idx="13">
                  <c:v>2020-Q2</c:v>
                </c:pt>
                <c:pt idx="14">
                  <c:v>2020-Q3</c:v>
                </c:pt>
                <c:pt idx="15">
                  <c:v>2020-Q4</c:v>
                </c:pt>
                <c:pt idx="16">
                  <c:v>2021-Q1</c:v>
                </c:pt>
                <c:pt idx="17">
                  <c:v>2021-Q2</c:v>
                </c:pt>
                <c:pt idx="18">
                  <c:v>2021-Q3</c:v>
                </c:pt>
                <c:pt idx="19">
                  <c:v>2021-Q4</c:v>
                </c:pt>
                <c:pt idx="20">
                  <c:v>2022-Q1</c:v>
                </c:pt>
                <c:pt idx="21">
                  <c:v>2022-Q2</c:v>
                </c:pt>
                <c:pt idx="22">
                  <c:v>2022-Q3</c:v>
                </c:pt>
                <c:pt idx="23">
                  <c:v>2022-Q4</c:v>
                </c:pt>
                <c:pt idx="24">
                  <c:v>2023-Q1</c:v>
                </c:pt>
                <c:pt idx="25">
                  <c:v>2023-Q2</c:v>
                </c:pt>
                <c:pt idx="26">
                  <c:v>2023-Q3</c:v>
                </c:pt>
                <c:pt idx="27">
                  <c:v>2023-Q4</c:v>
                </c:pt>
                <c:pt idx="28">
                  <c:v>2024-Q1</c:v>
                </c:pt>
                <c:pt idx="29">
                  <c:v>2024-Q2</c:v>
                </c:pt>
                <c:pt idx="30">
                  <c:v>2024-Q3</c:v>
                </c:pt>
                <c:pt idx="31">
                  <c:v>2024-Q4</c:v>
                </c:pt>
                <c:pt idx="32">
                  <c:v>2025-Q1</c:v>
                </c:pt>
                <c:pt idx="33">
                  <c:v>2025-Q2</c:v>
                </c:pt>
              </c:strCache>
            </c:strRef>
          </c:cat>
          <c:val>
            <c:numRef>
              <c:f>'Poland GVA'!$F$90:$F$123</c:f>
              <c:numCache>
                <c:formatCode>#\ ##0.00\ "PLN"</c:formatCode>
                <c:ptCount val="34"/>
                <c:pt idx="0">
                  <c:v>-9333.3794321447494</c:v>
                </c:pt>
                <c:pt idx="1">
                  <c:v>3445.1574244663125</c:v>
                </c:pt>
                <c:pt idx="2">
                  <c:v>2973.106074388731</c:v>
                </c:pt>
                <c:pt idx="3">
                  <c:v>19894.339598078004</c:v>
                </c:pt>
                <c:pt idx="4">
                  <c:v>-1601.5617640803102</c:v>
                </c:pt>
                <c:pt idx="5">
                  <c:v>6487.1054035185725</c:v>
                </c:pt>
                <c:pt idx="6">
                  <c:v>3848.2080787770201</c:v>
                </c:pt>
                <c:pt idx="7">
                  <c:v>18521.403395909831</c:v>
                </c:pt>
                <c:pt idx="8">
                  <c:v>-7409.8386072321446</c:v>
                </c:pt>
                <c:pt idx="9">
                  <c:v>7067.7611087473115</c:v>
                </c:pt>
                <c:pt idx="10">
                  <c:v>3069.8669393754199</c:v>
                </c:pt>
                <c:pt idx="11">
                  <c:v>15173.513673494701</c:v>
                </c:pt>
                <c:pt idx="12">
                  <c:v>-13179.555928883259</c:v>
                </c:pt>
                <c:pt idx="13">
                  <c:v>-40927.257200195068</c:v>
                </c:pt>
                <c:pt idx="14">
                  <c:v>31789.288202134088</c:v>
                </c:pt>
                <c:pt idx="15">
                  <c:v>13496.989125989508</c:v>
                </c:pt>
                <c:pt idx="16">
                  <c:v>-4725.2450668771053</c:v>
                </c:pt>
                <c:pt idx="17">
                  <c:v>6885.5537923598085</c:v>
                </c:pt>
                <c:pt idx="18">
                  <c:v>14569.746392781159</c:v>
                </c:pt>
                <c:pt idx="19">
                  <c:v>31063.657144158045</c:v>
                </c:pt>
                <c:pt idx="20">
                  <c:v>-8674.4279849017039</c:v>
                </c:pt>
                <c:pt idx="21">
                  <c:v>-9274.5063288088058</c:v>
                </c:pt>
                <c:pt idx="22">
                  <c:v>17509.140527090825</c:v>
                </c:pt>
                <c:pt idx="23">
                  <c:v>8071.6825538934354</c:v>
                </c:pt>
                <c:pt idx="24">
                  <c:v>-16666.658196059347</c:v>
                </c:pt>
                <c:pt idx="25">
                  <c:v>-8953.0864676604033</c:v>
                </c:pt>
                <c:pt idx="26">
                  <c:v>25614.695904724951</c:v>
                </c:pt>
                <c:pt idx="27">
                  <c:v>20003.863121589544</c:v>
                </c:pt>
                <c:pt idx="28">
                  <c:v>-31191.740296410338</c:v>
                </c:pt>
                <c:pt idx="29">
                  <c:v>6388.0816558147553</c:v>
                </c:pt>
                <c:pt idx="30">
                  <c:v>6365.9819052214252</c:v>
                </c:pt>
                <c:pt idx="31">
                  <c:v>35112.044840503731</c:v>
                </c:pt>
                <c:pt idx="32">
                  <c:v>-37201.5947320087</c:v>
                </c:pt>
                <c:pt idx="33">
                  <c:v>7137.0958352016523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1E-6149-A80A-D41AD9E25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284031"/>
        <c:axId val="389633967"/>
      </c:lineChart>
      <c:catAx>
        <c:axId val="38928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89633967"/>
        <c:crosses val="autoZero"/>
        <c:auto val="1"/>
        <c:lblAlgn val="ctr"/>
        <c:lblOffset val="100"/>
        <c:tickLblSkip val="1"/>
        <c:noMultiLvlLbl val="0"/>
      </c:catAx>
      <c:valAx>
        <c:axId val="38963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P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89284031"/>
        <c:crosses val="autoZero"/>
        <c:crossBetween val="between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1</xdr:row>
      <xdr:rowOff>31750</xdr:rowOff>
    </xdr:from>
    <xdr:to>
      <xdr:col>19</xdr:col>
      <xdr:colOff>8466</xdr:colOff>
      <xdr:row>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EA64E-9592-F9D1-14F9-1005FDF12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D4B48B-7D54-7642-BC5D-2990B69FADD1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Column10" tableColumnId="1"/>
      <queryTableField id="4" dataBound="0" tableColumnId="4"/>
      <queryTableField id="3" dataBound="0" tableColumnId="3"/>
      <queryTableField id="2" name="Column32" tableColumnId="2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35723-2338-5E4B-A4C9-55EF6B00871C}" name="Poland_GVA" displayName="Poland_GVA" ref="A1:F123" tableType="queryTable" totalsRowShown="0">
  <autoFilter ref="A1:F123" xr:uid="{1FC35723-2338-5E4B-A4C9-55EF6B00871C}"/>
  <tableColumns count="6">
    <tableColumn id="1" xr3:uid="{575AE667-A164-CA4C-A74B-E71CAB4BD2B1}" uniqueName="1" name="TIME" queryTableFieldId="1"/>
    <tableColumn id="4" xr3:uid="{2E0488F1-F83F-4B40-94BC-017B01637012}" uniqueName="4" name="YEAR" queryTableFieldId="4" dataDxfId="8"/>
    <tableColumn id="3" xr3:uid="{4EA60DA4-CC83-7C4D-AA69-4905970F9069}" uniqueName="3" name="QUARTER" queryTableFieldId="3" dataDxfId="7"/>
    <tableColumn id="2" xr3:uid="{AD5F73D1-8187-7648-A554-F237E6CC72DB}" uniqueName="2" name="GVA" queryTableFieldId="2" dataDxfId="6"/>
    <tableColumn id="5" xr3:uid="{1AAA317D-995E-284D-8611-9B732B552875}" uniqueName="5" name="GVA_NOTREND" queryTableFieldId="5"/>
    <tableColumn id="6" xr3:uid="{29764FD9-E008-E94C-A74D-18F394E87B80}" uniqueName="6" name="GVA_NOTREND_NOSEASON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03CA76-9618-DC4C-A8A9-5A823760ADF2}" name="Indicators" displayName="Indicators" ref="A1:C5" totalsRowShown="0">
  <autoFilter ref="A1:C5" xr:uid="{DD03CA76-9618-DC4C-A8A9-5A823760ADF2}"/>
  <tableColumns count="3">
    <tableColumn id="1" xr3:uid="{99948317-C0DE-0A46-A322-BF1526891625}" name="QUARTER" dataDxfId="5"/>
    <tableColumn id="2" xr3:uid="{0C45CE32-C3A2-E84B-A3DB-E5E94983D7F4}" name="RAW" dataDxfId="4">
      <calculatedColumnFormula>AVERAGEIF(Poland_GVA[QUARTER],Indicators[[#This Row],[QUARTER]],Poland_GVA[GVA_NOTREND])</calculatedColumnFormula>
    </tableColumn>
    <tableColumn id="3" xr3:uid="{2901C579-9E3D-8E47-8CBD-B92E7C44268D}" name="CLEANED" dataDxfId="3">
      <calculatedColumnFormula array="1">Indicators[[#This Row],[RAW]]-Table3[AVERAGE_RAW_INDICATORS]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71D747-2CE6-7F42-B379-6F40E896CC4E}" name="Table3" displayName="Table3" ref="A7:A8" totalsRowShown="0" headerRowDxfId="2" dataDxfId="1">
  <autoFilter ref="A7:A8" xr:uid="{B471D747-2CE6-7F42-B379-6F40E896CC4E}"/>
  <tableColumns count="1">
    <tableColumn id="1" xr3:uid="{4A9EFCBB-05BB-D944-8AB6-D10649A7C46C}" name="AVERAGE_RAW_INDICATORS" dataDxfId="0">
      <calculatedColumnFormula>AVERAGE(Indicators[RAW])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CC08-B680-3746-A0EB-52269A8A055A}">
  <dimension ref="A1:F123"/>
  <sheetViews>
    <sheetView tabSelected="1" workbookViewId="0">
      <selection activeCell="G13" sqref="G13"/>
    </sheetView>
  </sheetViews>
  <sheetFormatPr baseColWidth="10" defaultRowHeight="16" x14ac:dyDescent="0.2"/>
  <cols>
    <col min="1" max="1" width="8.1640625" bestFit="1" customWidth="1"/>
    <col min="2" max="2" width="8" style="2" bestFit="1" customWidth="1"/>
    <col min="3" max="3" width="11.5" style="2" bestFit="1" customWidth="1"/>
    <col min="4" max="4" width="13.5" style="3" bestFit="1" customWidth="1"/>
    <col min="5" max="5" width="16.5" bestFit="1" customWidth="1"/>
    <col min="6" max="6" width="27.1640625" bestFit="1" customWidth="1"/>
  </cols>
  <sheetData>
    <row r="1" spans="1:6" x14ac:dyDescent="0.2">
      <c r="A1" t="s">
        <v>0</v>
      </c>
      <c r="B1" s="2" t="s">
        <v>124</v>
      </c>
      <c r="C1" s="2" t="s">
        <v>125</v>
      </c>
      <c r="D1" s="3" t="s">
        <v>123</v>
      </c>
      <c r="E1" t="s">
        <v>126</v>
      </c>
      <c r="F1" t="s">
        <v>130</v>
      </c>
    </row>
    <row r="2" spans="1:6" x14ac:dyDescent="0.2">
      <c r="A2" t="s">
        <v>1</v>
      </c>
      <c r="B2" s="2">
        <v>1995</v>
      </c>
      <c r="C2" s="2">
        <v>1</v>
      </c>
      <c r="D2" s="3">
        <v>168075.61381862828</v>
      </c>
    </row>
    <row r="3" spans="1:6" x14ac:dyDescent="0.2">
      <c r="A3" t="s">
        <v>2</v>
      </c>
      <c r="B3" s="2">
        <v>1995</v>
      </c>
      <c r="C3" s="2">
        <v>2</v>
      </c>
      <c r="D3" s="3">
        <v>180814.19527141901</v>
      </c>
      <c r="E3" s="3">
        <f>Poland_GVA[[#This Row],[GVA]]-D2</f>
        <v>12738.581452790735</v>
      </c>
      <c r="F3" s="3">
        <f>Poland_GVA[[#This Row],[GVA_NOTREND]]-_xlfn.XLOOKUP(Poland_GVA[[#This Row],[QUARTER]],Indicators[QUARTER],Indicators[CLEANED],0)</f>
        <v>8118.3722966800624</v>
      </c>
    </row>
    <row r="4" spans="1:6" x14ac:dyDescent="0.2">
      <c r="A4" t="s">
        <v>3</v>
      </c>
      <c r="B4" s="2">
        <v>1995</v>
      </c>
      <c r="C4" s="2">
        <v>3</v>
      </c>
      <c r="D4" s="3">
        <v>192541.99227209931</v>
      </c>
      <c r="E4" s="3">
        <f>Poland_GVA[[#This Row],[GVA]]-D3</f>
        <v>11727.797000680293</v>
      </c>
      <c r="F4" s="3">
        <f>Poland_GVA[[#This Row],[GVA_NOTREND]]-_xlfn.XLOOKUP(Poland_GVA[[#This Row],[QUARTER]],Indicators[QUARTER],Indicators[CLEANED],0)</f>
        <v>7160.2537389519957</v>
      </c>
    </row>
    <row r="5" spans="1:6" x14ac:dyDescent="0.2">
      <c r="A5" t="s">
        <v>4</v>
      </c>
      <c r="B5" s="2">
        <v>1995</v>
      </c>
      <c r="C5" s="2">
        <v>4</v>
      </c>
      <c r="D5" s="3">
        <v>205958.0808104141</v>
      </c>
      <c r="E5" s="3">
        <f>Poland_GVA[[#This Row],[GVA]]-D4</f>
        <v>13416.088538314798</v>
      </c>
      <c r="F5" s="3">
        <f>Poland_GVA[[#This Row],[GVA_NOTREND]]-_xlfn.XLOOKUP(Poland_GVA[[#This Row],[QUARTER]],Indicators[QUARTER],Indicators[CLEANED],0)</f>
        <v>-29607.758600506917</v>
      </c>
    </row>
    <row r="6" spans="1:6" x14ac:dyDescent="0.2">
      <c r="A6" t="s">
        <v>5</v>
      </c>
      <c r="B6" s="2">
        <f>B2+1</f>
        <v>1996</v>
      </c>
      <c r="C6" s="2">
        <f>C2</f>
        <v>1</v>
      </c>
      <c r="D6" s="3">
        <v>181991.43737620534</v>
      </c>
      <c r="E6" s="3">
        <f>Poland_GVA[[#This Row],[GVA]]-D5</f>
        <v>-23966.64343420876</v>
      </c>
      <c r="F6" s="3">
        <f>Poland_GVA[[#This Row],[GVA_NOTREND]]-_xlfn.XLOOKUP(Poland_GVA[[#This Row],[QUARTER]],Indicators[QUARTER],Indicators[CLEANED],0)</f>
        <v>28244.956122451928</v>
      </c>
    </row>
    <row r="7" spans="1:6" x14ac:dyDescent="0.2">
      <c r="A7" t="s">
        <v>6</v>
      </c>
      <c r="B7" s="2">
        <f t="shared" ref="B7:B70" si="0">B3+1</f>
        <v>1996</v>
      </c>
      <c r="C7" s="2">
        <f t="shared" ref="C7:C70" si="1">C3</f>
        <v>2</v>
      </c>
      <c r="D7" s="3">
        <v>195958.13053726463</v>
      </c>
      <c r="E7" s="3">
        <f>Poland_GVA[[#This Row],[GVA]]-D6</f>
        <v>13966.693161059287</v>
      </c>
      <c r="F7" s="3">
        <f>Poland_GVA[[#This Row],[GVA_NOTREND]]-_xlfn.XLOOKUP(Poland_GVA[[#This Row],[QUARTER]],Indicators[QUARTER],Indicators[CLEANED],0)</f>
        <v>9346.4840049486156</v>
      </c>
    </row>
    <row r="8" spans="1:6" x14ac:dyDescent="0.2">
      <c r="A8" t="s">
        <v>7</v>
      </c>
      <c r="B8" s="2">
        <f t="shared" si="0"/>
        <v>1996</v>
      </c>
      <c r="C8" s="2">
        <f t="shared" si="1"/>
        <v>3</v>
      </c>
      <c r="D8" s="3">
        <v>201658.33210184387</v>
      </c>
      <c r="E8" s="3">
        <f>Poland_GVA[[#This Row],[GVA]]-D7</f>
        <v>5700.2015645792417</v>
      </c>
      <c r="F8" s="3">
        <f>Poland_GVA[[#This Row],[GVA_NOTREND]]-_xlfn.XLOOKUP(Poland_GVA[[#This Row],[QUARTER]],Indicators[QUARTER],Indicators[CLEANED],0)</f>
        <v>1132.658302850944</v>
      </c>
    </row>
    <row r="9" spans="1:6" x14ac:dyDescent="0.2">
      <c r="A9" t="s">
        <v>8</v>
      </c>
      <c r="B9" s="2">
        <f t="shared" si="0"/>
        <v>1996</v>
      </c>
      <c r="C9" s="2">
        <f t="shared" si="1"/>
        <v>4</v>
      </c>
      <c r="D9" s="3">
        <v>209242.24775551335</v>
      </c>
      <c r="E9" s="3">
        <f>Poland_GVA[[#This Row],[GVA]]-D8</f>
        <v>7583.9156536694791</v>
      </c>
      <c r="F9" s="3">
        <f>Poland_GVA[[#This Row],[GVA_NOTREND]]-_xlfn.XLOOKUP(Poland_GVA[[#This Row],[QUARTER]],Indicators[QUARTER],Indicators[CLEANED],0)</f>
        <v>-35439.931485152236</v>
      </c>
    </row>
    <row r="10" spans="1:6" x14ac:dyDescent="0.2">
      <c r="A10" t="s">
        <v>9</v>
      </c>
      <c r="B10" s="2">
        <f t="shared" si="0"/>
        <v>1997</v>
      </c>
      <c r="C10" s="2">
        <f t="shared" si="1"/>
        <v>1</v>
      </c>
      <c r="D10" s="3">
        <v>192167.43992475144</v>
      </c>
      <c r="E10" s="3">
        <f>Poland_GVA[[#This Row],[GVA]]-D9</f>
        <v>-17074.807830761914</v>
      </c>
      <c r="F10" s="3">
        <f>Poland_GVA[[#This Row],[GVA_NOTREND]]-_xlfn.XLOOKUP(Poland_GVA[[#This Row],[QUARTER]],Indicators[QUARTER],Indicators[CLEANED],0)</f>
        <v>35136.791725898773</v>
      </c>
    </row>
    <row r="11" spans="1:6" x14ac:dyDescent="0.2">
      <c r="A11" t="s">
        <v>10</v>
      </c>
      <c r="B11" s="2">
        <f t="shared" si="0"/>
        <v>1997</v>
      </c>
      <c r="C11" s="2">
        <f t="shared" si="1"/>
        <v>2</v>
      </c>
      <c r="D11" s="3">
        <v>203824.81601527307</v>
      </c>
      <c r="E11" s="3">
        <f>Poland_GVA[[#This Row],[GVA]]-D10</f>
        <v>11657.376090521633</v>
      </c>
      <c r="F11" s="3">
        <f>Poland_GVA[[#This Row],[GVA_NOTREND]]-_xlfn.XLOOKUP(Poland_GVA[[#This Row],[QUARTER]],Indicators[QUARTER],Indicators[CLEANED],0)</f>
        <v>7037.1669344109605</v>
      </c>
    </row>
    <row r="12" spans="1:6" x14ac:dyDescent="0.2">
      <c r="A12" t="s">
        <v>11</v>
      </c>
      <c r="B12" s="2">
        <f t="shared" si="0"/>
        <v>1997</v>
      </c>
      <c r="C12" s="2">
        <f t="shared" si="1"/>
        <v>3</v>
      </c>
      <c r="D12" s="3">
        <v>206529.05137761318</v>
      </c>
      <c r="E12" s="3">
        <f>Poland_GVA[[#This Row],[GVA]]-D11</f>
        <v>2704.2353623401141</v>
      </c>
      <c r="F12" s="3">
        <f>Poland_GVA[[#This Row],[GVA_NOTREND]]-_xlfn.XLOOKUP(Poland_GVA[[#This Row],[QUARTER]],Indicators[QUARTER],Indicators[CLEANED],0)</f>
        <v>-1863.3078993881836</v>
      </c>
    </row>
    <row r="13" spans="1:6" x14ac:dyDescent="0.2">
      <c r="A13" t="s">
        <v>12</v>
      </c>
      <c r="B13" s="2">
        <f t="shared" si="0"/>
        <v>1997</v>
      </c>
      <c r="C13" s="2">
        <f t="shared" si="1"/>
        <v>4</v>
      </c>
      <c r="D13" s="3">
        <v>231340.11212656528</v>
      </c>
      <c r="E13" s="3">
        <f>Poland_GVA[[#This Row],[GVA]]-D12</f>
        <v>24811.060748952092</v>
      </c>
      <c r="F13" s="3">
        <f>Poland_GVA[[#This Row],[GVA_NOTREND]]-_xlfn.XLOOKUP(Poland_GVA[[#This Row],[QUARTER]],Indicators[QUARTER],Indicators[CLEANED],0)</f>
        <v>-18212.786389869623</v>
      </c>
    </row>
    <row r="14" spans="1:6" x14ac:dyDescent="0.2">
      <c r="A14" t="s">
        <v>13</v>
      </c>
      <c r="B14" s="2">
        <f t="shared" si="0"/>
        <v>1998</v>
      </c>
      <c r="C14" s="2">
        <f t="shared" si="1"/>
        <v>1</v>
      </c>
      <c r="D14" s="3">
        <v>202824.71236958768</v>
      </c>
      <c r="E14" s="3">
        <f>Poland_GVA[[#This Row],[GVA]]-D13</f>
        <v>-28515.399756977597</v>
      </c>
      <c r="F14" s="3">
        <f>Poland_GVA[[#This Row],[GVA_NOTREND]]-_xlfn.XLOOKUP(Poland_GVA[[#This Row],[QUARTER]],Indicators[QUARTER],Indicators[CLEANED],0)</f>
        <v>23696.199799683091</v>
      </c>
    </row>
    <row r="15" spans="1:6" x14ac:dyDescent="0.2">
      <c r="A15" t="s">
        <v>14</v>
      </c>
      <c r="B15" s="2">
        <f t="shared" si="0"/>
        <v>1998</v>
      </c>
      <c r="C15" s="2">
        <f t="shared" si="1"/>
        <v>2</v>
      </c>
      <c r="D15" s="3">
        <v>210685.51435253149</v>
      </c>
      <c r="E15" s="3">
        <f>Poland_GVA[[#This Row],[GVA]]-D14</f>
        <v>7860.8019829438126</v>
      </c>
      <c r="F15" s="3">
        <f>Poland_GVA[[#This Row],[GVA_NOTREND]]-_xlfn.XLOOKUP(Poland_GVA[[#This Row],[QUARTER]],Indicators[QUARTER],Indicators[CLEANED],0)</f>
        <v>3240.59282683314</v>
      </c>
    </row>
    <row r="16" spans="1:6" x14ac:dyDescent="0.2">
      <c r="A16" t="s">
        <v>15</v>
      </c>
      <c r="B16" s="2">
        <f t="shared" si="0"/>
        <v>1998</v>
      </c>
      <c r="C16" s="2">
        <f t="shared" si="1"/>
        <v>3</v>
      </c>
      <c r="D16" s="3">
        <v>215388.50876130338</v>
      </c>
      <c r="E16" s="3">
        <f>Poland_GVA[[#This Row],[GVA]]-D15</f>
        <v>4702.9944087718904</v>
      </c>
      <c r="F16" s="3">
        <f>Poland_GVA[[#This Row],[GVA_NOTREND]]-_xlfn.XLOOKUP(Poland_GVA[[#This Row],[QUARTER]],Indicators[QUARTER],Indicators[CLEANED],0)</f>
        <v>135.45114704359275</v>
      </c>
    </row>
    <row r="17" spans="1:6" x14ac:dyDescent="0.2">
      <c r="A17" t="s">
        <v>16</v>
      </c>
      <c r="B17" s="2">
        <f t="shared" si="0"/>
        <v>1998</v>
      </c>
      <c r="C17" s="2">
        <f t="shared" si="1"/>
        <v>4</v>
      </c>
      <c r="D17" s="3">
        <v>241977.01862694687</v>
      </c>
      <c r="E17" s="3">
        <f>Poland_GVA[[#This Row],[GVA]]-D16</f>
        <v>26588.509865643486</v>
      </c>
      <c r="F17" s="3">
        <f>Poland_GVA[[#This Row],[GVA_NOTREND]]-_xlfn.XLOOKUP(Poland_GVA[[#This Row],[QUARTER]],Indicators[QUARTER],Indicators[CLEANED],0)</f>
        <v>-16435.337273178229</v>
      </c>
    </row>
    <row r="18" spans="1:6" x14ac:dyDescent="0.2">
      <c r="A18" t="s">
        <v>17</v>
      </c>
      <c r="B18" s="2">
        <f t="shared" si="0"/>
        <v>1999</v>
      </c>
      <c r="C18" s="2">
        <f t="shared" si="1"/>
        <v>1</v>
      </c>
      <c r="D18" s="3">
        <v>205922.1462328652</v>
      </c>
      <c r="E18" s="3">
        <f>Poland_GVA[[#This Row],[GVA]]-D17</f>
        <v>-36054.872394081671</v>
      </c>
      <c r="F18" s="3">
        <f>Poland_GVA[[#This Row],[GVA_NOTREND]]-_xlfn.XLOOKUP(Poland_GVA[[#This Row],[QUARTER]],Indicators[QUARTER],Indicators[CLEANED],0)</f>
        <v>16156.727162579016</v>
      </c>
    </row>
    <row r="19" spans="1:6" x14ac:dyDescent="0.2">
      <c r="A19" t="s">
        <v>18</v>
      </c>
      <c r="B19" s="2">
        <f t="shared" si="0"/>
        <v>1999</v>
      </c>
      <c r="C19" s="2">
        <f t="shared" si="1"/>
        <v>2</v>
      </c>
      <c r="D19" s="3">
        <v>217829.34457536362</v>
      </c>
      <c r="E19" s="3">
        <f>Poland_GVA[[#This Row],[GVA]]-D18</f>
        <v>11907.198342498421</v>
      </c>
      <c r="F19" s="3">
        <f>Poland_GVA[[#This Row],[GVA_NOTREND]]-_xlfn.XLOOKUP(Poland_GVA[[#This Row],[QUARTER]],Indicators[QUARTER],Indicators[CLEANED],0)</f>
        <v>7286.9891863877483</v>
      </c>
    </row>
    <row r="20" spans="1:6" x14ac:dyDescent="0.2">
      <c r="A20" t="s">
        <v>19</v>
      </c>
      <c r="B20" s="2">
        <f t="shared" si="0"/>
        <v>1999</v>
      </c>
      <c r="C20" s="2">
        <f t="shared" si="1"/>
        <v>3</v>
      </c>
      <c r="D20" s="3">
        <v>226099.54729949983</v>
      </c>
      <c r="E20" s="3">
        <f>Poland_GVA[[#This Row],[GVA]]-D19</f>
        <v>8270.2027241362084</v>
      </c>
      <c r="F20" s="3">
        <f>Poland_GVA[[#This Row],[GVA_NOTREND]]-_xlfn.XLOOKUP(Poland_GVA[[#This Row],[QUARTER]],Indicators[QUARTER],Indicators[CLEANED],0)</f>
        <v>3702.6594624079107</v>
      </c>
    </row>
    <row r="21" spans="1:6" x14ac:dyDescent="0.2">
      <c r="A21" t="s">
        <v>20</v>
      </c>
      <c r="B21" s="2">
        <f t="shared" si="0"/>
        <v>1999</v>
      </c>
      <c r="C21" s="2">
        <f t="shared" si="1"/>
        <v>4</v>
      </c>
      <c r="D21" s="3">
        <v>259850.71457218242</v>
      </c>
      <c r="E21" s="3">
        <f>Poland_GVA[[#This Row],[GVA]]-D20</f>
        <v>33751.167272682593</v>
      </c>
      <c r="F21" s="3">
        <f>Poland_GVA[[#This Row],[GVA_NOTREND]]-_xlfn.XLOOKUP(Poland_GVA[[#This Row],[QUARTER]],Indicators[QUARTER],Indicators[CLEANED],0)</f>
        <v>-9272.6798661391222</v>
      </c>
    </row>
    <row r="22" spans="1:6" x14ac:dyDescent="0.2">
      <c r="A22" t="s">
        <v>21</v>
      </c>
      <c r="B22" s="2">
        <f t="shared" si="0"/>
        <v>2000</v>
      </c>
      <c r="C22" s="2">
        <f t="shared" si="1"/>
        <v>1</v>
      </c>
      <c r="D22" s="3">
        <v>218210.77608617168</v>
      </c>
      <c r="E22" s="3">
        <f>Poland_GVA[[#This Row],[GVA]]-D21</f>
        <v>-41639.938486010738</v>
      </c>
      <c r="F22" s="3">
        <f>Poland_GVA[[#This Row],[GVA_NOTREND]]-_xlfn.XLOOKUP(Poland_GVA[[#This Row],[QUARTER]],Indicators[QUARTER],Indicators[CLEANED],0)</f>
        <v>10571.661070649949</v>
      </c>
    </row>
    <row r="23" spans="1:6" x14ac:dyDescent="0.2">
      <c r="A23" t="s">
        <v>22</v>
      </c>
      <c r="B23" s="2">
        <f t="shared" si="0"/>
        <v>2000</v>
      </c>
      <c r="C23" s="2">
        <f t="shared" si="1"/>
        <v>2</v>
      </c>
      <c r="D23" s="3">
        <v>230453.87673920847</v>
      </c>
      <c r="E23" s="3">
        <f>Poland_GVA[[#This Row],[GVA]]-D22</f>
        <v>12243.100653036789</v>
      </c>
      <c r="F23" s="3">
        <f>Poland_GVA[[#This Row],[GVA_NOTREND]]-_xlfn.XLOOKUP(Poland_GVA[[#This Row],[QUARTER]],Indicators[QUARTER],Indicators[CLEANED],0)</f>
        <v>7622.8914969261159</v>
      </c>
    </row>
    <row r="24" spans="1:6" x14ac:dyDescent="0.2">
      <c r="A24" t="s">
        <v>23</v>
      </c>
      <c r="B24" s="2">
        <f t="shared" si="0"/>
        <v>2000</v>
      </c>
      <c r="C24" s="2">
        <f t="shared" si="1"/>
        <v>3</v>
      </c>
      <c r="D24" s="3">
        <v>231313.31959519387</v>
      </c>
      <c r="E24" s="3">
        <f>Poland_GVA[[#This Row],[GVA]]-D23</f>
        <v>859.44285598539864</v>
      </c>
      <c r="F24" s="3">
        <f>Poland_GVA[[#This Row],[GVA_NOTREND]]-_xlfn.XLOOKUP(Poland_GVA[[#This Row],[QUARTER]],Indicators[QUARTER],Indicators[CLEANED],0)</f>
        <v>-3708.1004057428991</v>
      </c>
    </row>
    <row r="25" spans="1:6" x14ac:dyDescent="0.2">
      <c r="A25" t="s">
        <v>24</v>
      </c>
      <c r="B25" s="2">
        <f t="shared" si="0"/>
        <v>2000</v>
      </c>
      <c r="C25" s="2">
        <f t="shared" si="1"/>
        <v>4</v>
      </c>
      <c r="D25" s="3">
        <v>269925.24945969018</v>
      </c>
      <c r="E25" s="3">
        <f>Poland_GVA[[#This Row],[GVA]]-D24</f>
        <v>38611.929864496313</v>
      </c>
      <c r="F25" s="3">
        <f>Poland_GVA[[#This Row],[GVA_NOTREND]]-_xlfn.XLOOKUP(Poland_GVA[[#This Row],[QUARTER]],Indicators[QUARTER],Indicators[CLEANED],0)</f>
        <v>-4411.9172743254021</v>
      </c>
    </row>
    <row r="26" spans="1:6" x14ac:dyDescent="0.2">
      <c r="A26" t="s">
        <v>25</v>
      </c>
      <c r="B26" s="2">
        <f t="shared" si="0"/>
        <v>2001</v>
      </c>
      <c r="C26" s="2">
        <f t="shared" si="1"/>
        <v>1</v>
      </c>
      <c r="D26" s="3">
        <v>225342.38674233103</v>
      </c>
      <c r="E26" s="3">
        <f>Poland_GVA[[#This Row],[GVA]]-D25</f>
        <v>-44582.862717359152</v>
      </c>
      <c r="F26" s="3">
        <f>Poland_GVA[[#This Row],[GVA_NOTREND]]-_xlfn.XLOOKUP(Poland_GVA[[#This Row],[QUARTER]],Indicators[QUARTER],Indicators[CLEANED],0)</f>
        <v>7628.7368393015349</v>
      </c>
    </row>
    <row r="27" spans="1:6" x14ac:dyDescent="0.2">
      <c r="A27" t="s">
        <v>26</v>
      </c>
      <c r="B27" s="2">
        <f t="shared" si="0"/>
        <v>2001</v>
      </c>
      <c r="C27" s="2">
        <f t="shared" si="1"/>
        <v>2</v>
      </c>
      <c r="D27" s="3">
        <v>231668.32063586521</v>
      </c>
      <c r="E27" s="3">
        <f>Poland_GVA[[#This Row],[GVA]]-D26</f>
        <v>6325.9338935341802</v>
      </c>
      <c r="F27" s="3">
        <f>Poland_GVA[[#This Row],[GVA_NOTREND]]-_xlfn.XLOOKUP(Poland_GVA[[#This Row],[QUARTER]],Indicators[QUARTER],Indicators[CLEANED],0)</f>
        <v>1705.7247374235076</v>
      </c>
    </row>
    <row r="28" spans="1:6" x14ac:dyDescent="0.2">
      <c r="A28" t="s">
        <v>27</v>
      </c>
      <c r="B28" s="2">
        <f t="shared" si="0"/>
        <v>2001</v>
      </c>
      <c r="C28" s="2">
        <f t="shared" si="1"/>
        <v>3</v>
      </c>
      <c r="D28" s="3">
        <v>236470.61033826697</v>
      </c>
      <c r="E28" s="3">
        <f>Poland_GVA[[#This Row],[GVA]]-D27</f>
        <v>4802.2897024017584</v>
      </c>
      <c r="F28" s="3">
        <f>Poland_GVA[[#This Row],[GVA_NOTREND]]-_xlfn.XLOOKUP(Poland_GVA[[#This Row],[QUARTER]],Indicators[QUARTER],Indicators[CLEANED],0)</f>
        <v>234.74644067346071</v>
      </c>
    </row>
    <row r="29" spans="1:6" x14ac:dyDescent="0.2">
      <c r="A29" t="s">
        <v>28</v>
      </c>
      <c r="B29" s="2">
        <f t="shared" si="0"/>
        <v>2001</v>
      </c>
      <c r="C29" s="2">
        <f t="shared" si="1"/>
        <v>4</v>
      </c>
      <c r="D29" s="3">
        <v>269063.27217506152</v>
      </c>
      <c r="E29" s="3">
        <f>Poland_GVA[[#This Row],[GVA]]-D28</f>
        <v>32592.661836794548</v>
      </c>
      <c r="F29" s="3">
        <f>Poland_GVA[[#This Row],[GVA_NOTREND]]-_xlfn.XLOOKUP(Poland_GVA[[#This Row],[QUARTER]],Indicators[QUARTER],Indicators[CLEANED],0)</f>
        <v>-10431.185302027166</v>
      </c>
    </row>
    <row r="30" spans="1:6" x14ac:dyDescent="0.2">
      <c r="A30" t="s">
        <v>29</v>
      </c>
      <c r="B30" s="2">
        <f t="shared" si="0"/>
        <v>2002</v>
      </c>
      <c r="C30" s="2">
        <f t="shared" si="1"/>
        <v>1</v>
      </c>
      <c r="D30" s="3">
        <v>229134.1635385484</v>
      </c>
      <c r="E30" s="3">
        <f>Poland_GVA[[#This Row],[GVA]]-D29</f>
        <v>-39929.10863651312</v>
      </c>
      <c r="F30" s="3">
        <f>Poland_GVA[[#This Row],[GVA_NOTREND]]-_xlfn.XLOOKUP(Poland_GVA[[#This Row],[QUARTER]],Indicators[QUARTER],Indicators[CLEANED],0)</f>
        <v>12282.490920147568</v>
      </c>
    </row>
    <row r="31" spans="1:6" x14ac:dyDescent="0.2">
      <c r="A31" t="s">
        <v>30</v>
      </c>
      <c r="B31" s="2">
        <f t="shared" si="0"/>
        <v>2002</v>
      </c>
      <c r="C31" s="2">
        <f t="shared" si="1"/>
        <v>2</v>
      </c>
      <c r="D31" s="3">
        <v>237118.88097908505</v>
      </c>
      <c r="E31" s="3">
        <f>Poland_GVA[[#This Row],[GVA]]-D30</f>
        <v>7984.7174405366532</v>
      </c>
      <c r="F31" s="3">
        <f>Poland_GVA[[#This Row],[GVA_NOTREND]]-_xlfn.XLOOKUP(Poland_GVA[[#This Row],[QUARTER]],Indicators[QUARTER],Indicators[CLEANED],0)</f>
        <v>3364.5082844259805</v>
      </c>
    </row>
    <row r="32" spans="1:6" x14ac:dyDescent="0.2">
      <c r="A32" t="s">
        <v>31</v>
      </c>
      <c r="B32" s="2">
        <f t="shared" si="0"/>
        <v>2002</v>
      </c>
      <c r="C32" s="2">
        <f t="shared" si="1"/>
        <v>3</v>
      </c>
      <c r="D32" s="3">
        <v>241739.8685181863</v>
      </c>
      <c r="E32" s="3">
        <f>Poland_GVA[[#This Row],[GVA]]-D31</f>
        <v>4620.9875391012465</v>
      </c>
      <c r="F32" s="3">
        <f>Poland_GVA[[#This Row],[GVA_NOTREND]]-_xlfn.XLOOKUP(Poland_GVA[[#This Row],[QUARTER]],Indicators[QUARTER],Indicators[CLEANED],0)</f>
        <v>53.444277372948818</v>
      </c>
    </row>
    <row r="33" spans="1:6" x14ac:dyDescent="0.2">
      <c r="A33" t="s">
        <v>32</v>
      </c>
      <c r="B33" s="2">
        <f t="shared" si="0"/>
        <v>2002</v>
      </c>
      <c r="C33" s="2">
        <f t="shared" si="1"/>
        <v>4</v>
      </c>
      <c r="D33" s="3">
        <v>272031.99326938577</v>
      </c>
      <c r="E33" s="3">
        <f>Poland_GVA[[#This Row],[GVA]]-D32</f>
        <v>30292.124751199473</v>
      </c>
      <c r="F33" s="3">
        <f>Poland_GVA[[#This Row],[GVA_NOTREND]]-_xlfn.XLOOKUP(Poland_GVA[[#This Row],[QUARTER]],Indicators[QUARTER],Indicators[CLEANED],0)</f>
        <v>-12731.722387622242</v>
      </c>
    </row>
    <row r="34" spans="1:6" x14ac:dyDescent="0.2">
      <c r="A34" t="s">
        <v>33</v>
      </c>
      <c r="B34" s="2">
        <f t="shared" si="0"/>
        <v>2003</v>
      </c>
      <c r="C34" s="2">
        <f t="shared" si="1"/>
        <v>1</v>
      </c>
      <c r="D34" s="3">
        <v>234693.25173688427</v>
      </c>
      <c r="E34" s="3">
        <f>Poland_GVA[[#This Row],[GVA]]-D33</f>
        <v>-37338.741532501503</v>
      </c>
      <c r="F34" s="3">
        <f>Poland_GVA[[#This Row],[GVA_NOTREND]]-_xlfn.XLOOKUP(Poland_GVA[[#This Row],[QUARTER]],Indicators[QUARTER],Indicators[CLEANED],0)</f>
        <v>14872.858024159184</v>
      </c>
    </row>
    <row r="35" spans="1:6" x14ac:dyDescent="0.2">
      <c r="A35" t="s">
        <v>34</v>
      </c>
      <c r="B35" s="2">
        <f t="shared" si="0"/>
        <v>2003</v>
      </c>
      <c r="C35" s="2">
        <f t="shared" si="1"/>
        <v>2</v>
      </c>
      <c r="D35" s="3">
        <v>244531.36063810092</v>
      </c>
      <c r="E35" s="3">
        <f>Poland_GVA[[#This Row],[GVA]]-D34</f>
        <v>9838.1089012166485</v>
      </c>
      <c r="F35" s="3">
        <f>Poland_GVA[[#This Row],[GVA_NOTREND]]-_xlfn.XLOOKUP(Poland_GVA[[#This Row],[QUARTER]],Indicators[QUARTER],Indicators[CLEANED],0)</f>
        <v>5217.8997451059759</v>
      </c>
    </row>
    <row r="36" spans="1:6" x14ac:dyDescent="0.2">
      <c r="A36" t="s">
        <v>35</v>
      </c>
      <c r="B36" s="2">
        <f t="shared" si="0"/>
        <v>2003</v>
      </c>
      <c r="C36" s="2">
        <f t="shared" si="1"/>
        <v>3</v>
      </c>
      <c r="D36" s="3">
        <v>251402.01565931493</v>
      </c>
      <c r="E36" s="3">
        <f>Poland_GVA[[#This Row],[GVA]]-D35</f>
        <v>6870.6550212140137</v>
      </c>
      <c r="F36" s="3">
        <f>Poland_GVA[[#This Row],[GVA_NOTREND]]-_xlfn.XLOOKUP(Poland_GVA[[#This Row],[QUARTER]],Indicators[QUARTER],Indicators[CLEANED],0)</f>
        <v>2303.111759485716</v>
      </c>
    </row>
    <row r="37" spans="1:6" x14ac:dyDescent="0.2">
      <c r="A37" t="s">
        <v>36</v>
      </c>
      <c r="B37" s="2">
        <f t="shared" si="0"/>
        <v>2003</v>
      </c>
      <c r="C37" s="2">
        <f t="shared" si="1"/>
        <v>4</v>
      </c>
      <c r="D37" s="3">
        <v>282156.76415321499</v>
      </c>
      <c r="E37" s="3">
        <f>Poland_GVA[[#This Row],[GVA]]-D36</f>
        <v>30754.748493900057</v>
      </c>
      <c r="F37" s="3">
        <f>Poland_GVA[[#This Row],[GVA_NOTREND]]-_xlfn.XLOOKUP(Poland_GVA[[#This Row],[QUARTER]],Indicators[QUARTER],Indicators[CLEANED],0)</f>
        <v>-12269.098644921658</v>
      </c>
    </row>
    <row r="38" spans="1:6" x14ac:dyDescent="0.2">
      <c r="A38" t="s">
        <v>37</v>
      </c>
      <c r="B38" s="2">
        <f t="shared" si="0"/>
        <v>2004</v>
      </c>
      <c r="C38" s="2">
        <f t="shared" si="1"/>
        <v>1</v>
      </c>
      <c r="D38" s="3">
        <v>250101.0391275532</v>
      </c>
      <c r="E38" s="3">
        <f>Poland_GVA[[#This Row],[GVA]]-D37</f>
        <v>-32055.725025661784</v>
      </c>
      <c r="F38" s="3">
        <f>Poland_GVA[[#This Row],[GVA_NOTREND]]-_xlfn.XLOOKUP(Poland_GVA[[#This Row],[QUARTER]],Indicators[QUARTER],Indicators[CLEANED],0)</f>
        <v>20155.874530998903</v>
      </c>
    </row>
    <row r="39" spans="1:6" x14ac:dyDescent="0.2">
      <c r="A39" t="s">
        <v>38</v>
      </c>
      <c r="B39" s="2">
        <f t="shared" si="0"/>
        <v>2004</v>
      </c>
      <c r="C39" s="2">
        <f t="shared" si="1"/>
        <v>2</v>
      </c>
      <c r="D39" s="3">
        <v>260587.05660835319</v>
      </c>
      <c r="E39" s="3">
        <f>Poland_GVA[[#This Row],[GVA]]-D38</f>
        <v>10486.017480799987</v>
      </c>
      <c r="F39" s="3">
        <f>Poland_GVA[[#This Row],[GVA_NOTREND]]-_xlfn.XLOOKUP(Poland_GVA[[#This Row],[QUARTER]],Indicators[QUARTER],Indicators[CLEANED],0)</f>
        <v>5865.8083246893138</v>
      </c>
    </row>
    <row r="40" spans="1:6" x14ac:dyDescent="0.2">
      <c r="A40" t="s">
        <v>39</v>
      </c>
      <c r="B40" s="2">
        <f t="shared" si="0"/>
        <v>2004</v>
      </c>
      <c r="C40" s="2">
        <f t="shared" si="1"/>
        <v>3</v>
      </c>
      <c r="D40" s="3">
        <v>260099.81270168975</v>
      </c>
      <c r="E40" s="3">
        <f>Poland_GVA[[#This Row],[GVA]]-D39</f>
        <v>-487.2439066634397</v>
      </c>
      <c r="F40" s="3">
        <f>Poland_GVA[[#This Row],[GVA_NOTREND]]-_xlfn.XLOOKUP(Poland_GVA[[#This Row],[QUARTER]],Indicators[QUARTER],Indicators[CLEANED],0)</f>
        <v>-5054.7871683917374</v>
      </c>
    </row>
    <row r="41" spans="1:6" x14ac:dyDescent="0.2">
      <c r="A41" t="s">
        <v>40</v>
      </c>
      <c r="B41" s="2">
        <f t="shared" si="0"/>
        <v>2004</v>
      </c>
      <c r="C41" s="2">
        <f t="shared" si="1"/>
        <v>4</v>
      </c>
      <c r="D41" s="3">
        <v>296920.71615319158</v>
      </c>
      <c r="E41" s="3">
        <f>Poland_GVA[[#This Row],[GVA]]-D40</f>
        <v>36820.903451501828</v>
      </c>
      <c r="F41" s="3">
        <f>Poland_GVA[[#This Row],[GVA_NOTREND]]-_xlfn.XLOOKUP(Poland_GVA[[#This Row],[QUARTER]],Indicators[QUARTER],Indicators[CLEANED],0)</f>
        <v>-6202.9436873198865</v>
      </c>
    </row>
    <row r="42" spans="1:6" x14ac:dyDescent="0.2">
      <c r="A42" t="s">
        <v>41</v>
      </c>
      <c r="B42" s="2">
        <f t="shared" si="0"/>
        <v>2005</v>
      </c>
      <c r="C42" s="2">
        <f t="shared" si="1"/>
        <v>1</v>
      </c>
      <c r="D42" s="3">
        <v>255136.2247192073</v>
      </c>
      <c r="E42" s="3">
        <f>Poland_GVA[[#This Row],[GVA]]-D41</f>
        <v>-41784.49143398428</v>
      </c>
      <c r="F42" s="3">
        <f>Poland_GVA[[#This Row],[GVA_NOTREND]]-_xlfn.XLOOKUP(Poland_GVA[[#This Row],[QUARTER]],Indicators[QUARTER],Indicators[CLEANED],0)</f>
        <v>10427.108122676407</v>
      </c>
    </row>
    <row r="43" spans="1:6" x14ac:dyDescent="0.2">
      <c r="A43" t="s">
        <v>42</v>
      </c>
      <c r="B43" s="2">
        <f t="shared" si="0"/>
        <v>2005</v>
      </c>
      <c r="C43" s="2">
        <f t="shared" si="1"/>
        <v>2</v>
      </c>
      <c r="D43" s="3">
        <v>271589.64495583129</v>
      </c>
      <c r="E43" s="3">
        <f>Poland_GVA[[#This Row],[GVA]]-D42</f>
        <v>16453.420236623992</v>
      </c>
      <c r="F43" s="3">
        <f>Poland_GVA[[#This Row],[GVA_NOTREND]]-_xlfn.XLOOKUP(Poland_GVA[[#This Row],[QUARTER]],Indicators[QUARTER],Indicators[CLEANED],0)</f>
        <v>11833.21108051332</v>
      </c>
    </row>
    <row r="44" spans="1:6" x14ac:dyDescent="0.2">
      <c r="A44" t="s">
        <v>43</v>
      </c>
      <c r="B44" s="2">
        <f t="shared" si="0"/>
        <v>2005</v>
      </c>
      <c r="C44" s="2">
        <f t="shared" si="1"/>
        <v>3</v>
      </c>
      <c r="D44" s="3">
        <v>268383.23066089436</v>
      </c>
      <c r="E44" s="3">
        <f>Poland_GVA[[#This Row],[GVA]]-D43</f>
        <v>-3206.414294936927</v>
      </c>
      <c r="F44" s="3">
        <f>Poland_GVA[[#This Row],[GVA_NOTREND]]-_xlfn.XLOOKUP(Poland_GVA[[#This Row],[QUARTER]],Indicators[QUARTER],Indicators[CLEANED],0)</f>
        <v>-7773.9575566652247</v>
      </c>
    </row>
    <row r="45" spans="1:6" x14ac:dyDescent="0.2">
      <c r="A45" t="s">
        <v>44</v>
      </c>
      <c r="B45" s="2">
        <f t="shared" si="0"/>
        <v>2005</v>
      </c>
      <c r="C45" s="2">
        <f t="shared" si="1"/>
        <v>4</v>
      </c>
      <c r="D45" s="3">
        <v>305874.39997322514</v>
      </c>
      <c r="E45" s="3">
        <f>Poland_GVA[[#This Row],[GVA]]-D44</f>
        <v>37491.169312330778</v>
      </c>
      <c r="F45" s="3">
        <f>Poland_GVA[[#This Row],[GVA_NOTREND]]-_xlfn.XLOOKUP(Poland_GVA[[#This Row],[QUARTER]],Indicators[QUARTER],Indicators[CLEANED],0)</f>
        <v>-5532.6778264909372</v>
      </c>
    </row>
    <row r="46" spans="1:6" x14ac:dyDescent="0.2">
      <c r="A46" t="s">
        <v>45</v>
      </c>
      <c r="B46" s="2">
        <f t="shared" si="0"/>
        <v>2006</v>
      </c>
      <c r="C46" s="2">
        <f t="shared" si="1"/>
        <v>1</v>
      </c>
      <c r="D46" s="3">
        <v>276151.25445243367</v>
      </c>
      <c r="E46" s="3">
        <f>Poland_GVA[[#This Row],[GVA]]-D45</f>
        <v>-29723.14552079147</v>
      </c>
      <c r="F46" s="3">
        <f>Poland_GVA[[#This Row],[GVA_NOTREND]]-_xlfn.XLOOKUP(Poland_GVA[[#This Row],[QUARTER]],Indicators[QUARTER],Indicators[CLEANED],0)</f>
        <v>22488.454035869217</v>
      </c>
    </row>
    <row r="47" spans="1:6" x14ac:dyDescent="0.2">
      <c r="A47" t="s">
        <v>46</v>
      </c>
      <c r="B47" s="2">
        <f t="shared" si="0"/>
        <v>2006</v>
      </c>
      <c r="C47" s="2">
        <f t="shared" si="1"/>
        <v>2</v>
      </c>
      <c r="D47" s="3">
        <v>285742.34707624285</v>
      </c>
      <c r="E47" s="3">
        <f>Poland_GVA[[#This Row],[GVA]]-D46</f>
        <v>9591.0926238091779</v>
      </c>
      <c r="F47" s="3">
        <f>Poland_GVA[[#This Row],[GVA_NOTREND]]-_xlfn.XLOOKUP(Poland_GVA[[#This Row],[QUARTER]],Indicators[QUARTER],Indicators[CLEANED],0)</f>
        <v>4970.8834676985052</v>
      </c>
    </row>
    <row r="48" spans="1:6" x14ac:dyDescent="0.2">
      <c r="A48" t="s">
        <v>47</v>
      </c>
      <c r="B48" s="2">
        <f t="shared" si="0"/>
        <v>2006</v>
      </c>
      <c r="C48" s="2">
        <f t="shared" si="1"/>
        <v>3</v>
      </c>
      <c r="D48" s="3">
        <v>288340.77004272764</v>
      </c>
      <c r="E48" s="3">
        <f>Poland_GVA[[#This Row],[GVA]]-D47</f>
        <v>2598.4229664847953</v>
      </c>
      <c r="F48" s="3">
        <f>Poland_GVA[[#This Row],[GVA_NOTREND]]-_xlfn.XLOOKUP(Poland_GVA[[#This Row],[QUARTER]],Indicators[QUARTER],Indicators[CLEANED],0)</f>
        <v>-1969.1202952435024</v>
      </c>
    </row>
    <row r="49" spans="1:6" x14ac:dyDescent="0.2">
      <c r="A49" t="s">
        <v>48</v>
      </c>
      <c r="B49" s="2">
        <f t="shared" si="0"/>
        <v>2006</v>
      </c>
      <c r="C49" s="2">
        <f t="shared" si="1"/>
        <v>4</v>
      </c>
      <c r="D49" s="3">
        <v>318775.45640510955</v>
      </c>
      <c r="E49" s="3">
        <f>Poland_GVA[[#This Row],[GVA]]-D48</f>
        <v>30434.686362381908</v>
      </c>
      <c r="F49" s="3">
        <f>Poland_GVA[[#This Row],[GVA_NOTREND]]-_xlfn.XLOOKUP(Poland_GVA[[#This Row],[QUARTER]],Indicators[QUARTER],Indicators[CLEANED],0)</f>
        <v>-12589.160776439807</v>
      </c>
    </row>
    <row r="50" spans="1:6" x14ac:dyDescent="0.2">
      <c r="A50" t="s">
        <v>49</v>
      </c>
      <c r="B50" s="2">
        <f t="shared" si="0"/>
        <v>2007</v>
      </c>
      <c r="C50" s="2">
        <f t="shared" si="1"/>
        <v>1</v>
      </c>
      <c r="D50" s="3">
        <v>296943.88807221549</v>
      </c>
      <c r="E50" s="3">
        <f>Poland_GVA[[#This Row],[GVA]]-D49</f>
        <v>-21831.568332894065</v>
      </c>
      <c r="F50" s="3">
        <f>Poland_GVA[[#This Row],[GVA_NOTREND]]-_xlfn.XLOOKUP(Poland_GVA[[#This Row],[QUARTER]],Indicators[QUARTER],Indicators[CLEANED],0)</f>
        <v>30380.031223766622</v>
      </c>
    </row>
    <row r="51" spans="1:6" x14ac:dyDescent="0.2">
      <c r="A51" t="s">
        <v>50</v>
      </c>
      <c r="B51" s="2">
        <f t="shared" si="0"/>
        <v>2007</v>
      </c>
      <c r="C51" s="2">
        <f t="shared" si="1"/>
        <v>2</v>
      </c>
      <c r="D51" s="3">
        <v>301310.70862452296</v>
      </c>
      <c r="E51" s="3">
        <f>Poland_GVA[[#This Row],[GVA]]-D50</f>
        <v>4366.8205523074721</v>
      </c>
      <c r="F51" s="3">
        <f>Poland_GVA[[#This Row],[GVA_NOTREND]]-_xlfn.XLOOKUP(Poland_GVA[[#This Row],[QUARTER]],Indicators[QUARTER],Indicators[CLEANED],0)</f>
        <v>-253.38860380320057</v>
      </c>
    </row>
    <row r="52" spans="1:6" x14ac:dyDescent="0.2">
      <c r="A52" t="s">
        <v>51</v>
      </c>
      <c r="B52" s="2">
        <f t="shared" si="0"/>
        <v>2007</v>
      </c>
      <c r="C52" s="2">
        <f t="shared" si="1"/>
        <v>3</v>
      </c>
      <c r="D52" s="3">
        <v>302788.0994929162</v>
      </c>
      <c r="E52" s="3">
        <f>Poland_GVA[[#This Row],[GVA]]-D51</f>
        <v>1477.3908683932386</v>
      </c>
      <c r="F52" s="3">
        <f>Poland_GVA[[#This Row],[GVA_NOTREND]]-_xlfn.XLOOKUP(Poland_GVA[[#This Row],[QUARTER]],Indicators[QUARTER],Indicators[CLEANED],0)</f>
        <v>-3090.1523933350591</v>
      </c>
    </row>
    <row r="53" spans="1:6" x14ac:dyDescent="0.2">
      <c r="A53" t="s">
        <v>52</v>
      </c>
      <c r="B53" s="2">
        <f t="shared" si="0"/>
        <v>2007</v>
      </c>
      <c r="C53" s="2">
        <f t="shared" si="1"/>
        <v>4</v>
      </c>
      <c r="D53" s="3">
        <v>347449.34846759849</v>
      </c>
      <c r="E53" s="3">
        <f>Poland_GVA[[#This Row],[GVA]]-D52</f>
        <v>44661.248974682298</v>
      </c>
      <c r="F53" s="3">
        <f>Poland_GVA[[#This Row],[GVA_NOTREND]]-_xlfn.XLOOKUP(Poland_GVA[[#This Row],[QUARTER]],Indicators[QUARTER],Indicators[CLEANED],0)</f>
        <v>1637.4018358605827</v>
      </c>
    </row>
    <row r="54" spans="1:6" x14ac:dyDescent="0.2">
      <c r="A54" t="s">
        <v>53</v>
      </c>
      <c r="B54" s="2">
        <f t="shared" si="0"/>
        <v>2008</v>
      </c>
      <c r="C54" s="2">
        <f t="shared" si="1"/>
        <v>1</v>
      </c>
      <c r="D54" s="3">
        <v>312141.13685487793</v>
      </c>
      <c r="E54" s="3">
        <f>Poland_GVA[[#This Row],[GVA]]-D53</f>
        <v>-35308.211612720566</v>
      </c>
      <c r="F54" s="3">
        <f>Poland_GVA[[#This Row],[GVA_NOTREND]]-_xlfn.XLOOKUP(Poland_GVA[[#This Row],[QUARTER]],Indicators[QUARTER],Indicators[CLEANED],0)</f>
        <v>16903.387943940121</v>
      </c>
    </row>
    <row r="55" spans="1:6" x14ac:dyDescent="0.2">
      <c r="A55" t="s">
        <v>54</v>
      </c>
      <c r="B55" s="2">
        <f t="shared" si="0"/>
        <v>2008</v>
      </c>
      <c r="C55" s="2">
        <f t="shared" si="1"/>
        <v>2</v>
      </c>
      <c r="D55" s="3">
        <v>316919.89257702109</v>
      </c>
      <c r="E55" s="3">
        <f>Poland_GVA[[#This Row],[GVA]]-D54</f>
        <v>4778.7557221431634</v>
      </c>
      <c r="F55" s="3">
        <f>Poland_GVA[[#This Row],[GVA_NOTREND]]-_xlfn.XLOOKUP(Poland_GVA[[#This Row],[QUARTER]],Indicators[QUARTER],Indicators[CLEANED],0)</f>
        <v>158.54656603249077</v>
      </c>
    </row>
    <row r="56" spans="1:6" x14ac:dyDescent="0.2">
      <c r="A56" t="s">
        <v>55</v>
      </c>
      <c r="B56" s="2">
        <f t="shared" si="0"/>
        <v>2008</v>
      </c>
      <c r="C56" s="2">
        <f t="shared" si="1"/>
        <v>3</v>
      </c>
      <c r="D56" s="3">
        <v>312355.02452930593</v>
      </c>
      <c r="E56" s="3">
        <f>Poland_GVA[[#This Row],[GVA]]-D55</f>
        <v>-4564.8680477151647</v>
      </c>
      <c r="F56" s="3">
        <f>Poland_GVA[[#This Row],[GVA_NOTREND]]-_xlfn.XLOOKUP(Poland_GVA[[#This Row],[QUARTER]],Indicators[QUARTER],Indicators[CLEANED],0)</f>
        <v>-9132.4113094434615</v>
      </c>
    </row>
    <row r="57" spans="1:6" x14ac:dyDescent="0.2">
      <c r="A57" t="s">
        <v>56</v>
      </c>
      <c r="B57" s="2">
        <f t="shared" si="0"/>
        <v>2008</v>
      </c>
      <c r="C57" s="2">
        <f t="shared" si="1"/>
        <v>4</v>
      </c>
      <c r="D57" s="3">
        <v>358928.2283693889</v>
      </c>
      <c r="E57" s="3">
        <f>Poland_GVA[[#This Row],[GVA]]-D56</f>
        <v>46573.203840082977</v>
      </c>
      <c r="F57" s="3">
        <f>Poland_GVA[[#This Row],[GVA_NOTREND]]-_xlfn.XLOOKUP(Poland_GVA[[#This Row],[QUARTER]],Indicators[QUARTER],Indicators[CLEANED],0)</f>
        <v>3549.3567012612621</v>
      </c>
    </row>
    <row r="58" spans="1:6" x14ac:dyDescent="0.2">
      <c r="A58" t="s">
        <v>57</v>
      </c>
      <c r="B58" s="2">
        <f t="shared" si="0"/>
        <v>2009</v>
      </c>
      <c r="C58" s="2">
        <f t="shared" si="1"/>
        <v>1</v>
      </c>
      <c r="D58" s="3">
        <v>317795.44715795276</v>
      </c>
      <c r="E58" s="3">
        <f>Poland_GVA[[#This Row],[GVA]]-D57</f>
        <v>-41132.781211436144</v>
      </c>
      <c r="F58" s="3">
        <f>Poland_GVA[[#This Row],[GVA_NOTREND]]-_xlfn.XLOOKUP(Poland_GVA[[#This Row],[QUARTER]],Indicators[QUARTER],Indicators[CLEANED],0)</f>
        <v>11078.818345224543</v>
      </c>
    </row>
    <row r="59" spans="1:6" x14ac:dyDescent="0.2">
      <c r="A59" t="s">
        <v>58</v>
      </c>
      <c r="B59" s="2">
        <f t="shared" si="0"/>
        <v>2009</v>
      </c>
      <c r="C59" s="2">
        <f t="shared" si="1"/>
        <v>2</v>
      </c>
      <c r="D59" s="3">
        <v>321110.20827738836</v>
      </c>
      <c r="E59" s="3">
        <f>Poland_GVA[[#This Row],[GVA]]-D58</f>
        <v>3314.7611194355995</v>
      </c>
      <c r="F59" s="3">
        <f>Poland_GVA[[#This Row],[GVA_NOTREND]]-_xlfn.XLOOKUP(Poland_GVA[[#This Row],[QUARTER]],Indicators[QUARTER],Indicators[CLEANED],0)</f>
        <v>-1305.4480366750731</v>
      </c>
    </row>
    <row r="60" spans="1:6" x14ac:dyDescent="0.2">
      <c r="A60" t="s">
        <v>59</v>
      </c>
      <c r="B60" s="2">
        <f t="shared" si="0"/>
        <v>2009</v>
      </c>
      <c r="C60" s="2">
        <f t="shared" si="1"/>
        <v>3</v>
      </c>
      <c r="D60" s="3">
        <v>323569.87127565552</v>
      </c>
      <c r="E60" s="3">
        <f>Poland_GVA[[#This Row],[GVA]]-D59</f>
        <v>2459.6629982671584</v>
      </c>
      <c r="F60" s="3">
        <f>Poland_GVA[[#This Row],[GVA_NOTREND]]-_xlfn.XLOOKUP(Poland_GVA[[#This Row],[QUARTER]],Indicators[QUARTER],Indicators[CLEANED],0)</f>
        <v>-2107.8802634611393</v>
      </c>
    </row>
    <row r="61" spans="1:6" x14ac:dyDescent="0.2">
      <c r="A61" t="s">
        <v>60</v>
      </c>
      <c r="B61" s="2">
        <f t="shared" si="0"/>
        <v>2009</v>
      </c>
      <c r="C61" s="2">
        <f t="shared" si="1"/>
        <v>4</v>
      </c>
      <c r="D61" s="3">
        <v>375405.81619343231</v>
      </c>
      <c r="E61" s="3">
        <f>Poland_GVA[[#This Row],[GVA]]-D60</f>
        <v>51835.944917776797</v>
      </c>
      <c r="F61" s="3">
        <f>Poland_GVA[[#This Row],[GVA_NOTREND]]-_xlfn.XLOOKUP(Poland_GVA[[#This Row],[QUARTER]],Indicators[QUARTER],Indicators[CLEANED],0)</f>
        <v>8812.0977789550816</v>
      </c>
    </row>
    <row r="62" spans="1:6" x14ac:dyDescent="0.2">
      <c r="A62" t="s">
        <v>61</v>
      </c>
      <c r="B62" s="2">
        <f t="shared" si="0"/>
        <v>2010</v>
      </c>
      <c r="C62" s="2">
        <f t="shared" si="1"/>
        <v>1</v>
      </c>
      <c r="D62" s="3">
        <v>325838.72800321004</v>
      </c>
      <c r="E62" s="3">
        <f>Poland_GVA[[#This Row],[GVA]]-D61</f>
        <v>-49567.088190222275</v>
      </c>
      <c r="F62" s="3">
        <f>Poland_GVA[[#This Row],[GVA_NOTREND]]-_xlfn.XLOOKUP(Poland_GVA[[#This Row],[QUARTER]],Indicators[QUARTER],Indicators[CLEANED],0)</f>
        <v>2644.5113664384116</v>
      </c>
    </row>
    <row r="63" spans="1:6" x14ac:dyDescent="0.2">
      <c r="A63" t="s">
        <v>62</v>
      </c>
      <c r="B63" s="2">
        <f t="shared" si="0"/>
        <v>2010</v>
      </c>
      <c r="C63" s="2">
        <f t="shared" si="1"/>
        <v>2</v>
      </c>
      <c r="D63" s="3">
        <v>331368.03666498774</v>
      </c>
      <c r="E63" s="3">
        <f>Poland_GVA[[#This Row],[GVA]]-D62</f>
        <v>5529.3086617777008</v>
      </c>
      <c r="F63" s="3">
        <f>Poland_GVA[[#This Row],[GVA_NOTREND]]-_xlfn.XLOOKUP(Poland_GVA[[#This Row],[QUARTER]],Indicators[QUARTER],Indicators[CLEANED],0)</f>
        <v>909.0995056670281</v>
      </c>
    </row>
    <row r="64" spans="1:6" x14ac:dyDescent="0.2">
      <c r="A64" t="s">
        <v>63</v>
      </c>
      <c r="B64" s="2">
        <f t="shared" si="0"/>
        <v>2010</v>
      </c>
      <c r="C64" s="2">
        <f t="shared" si="1"/>
        <v>3</v>
      </c>
      <c r="D64" s="3">
        <v>333891.5129558795</v>
      </c>
      <c r="E64" s="3">
        <f>Poland_GVA[[#This Row],[GVA]]-D63</f>
        <v>2523.4762908917619</v>
      </c>
      <c r="F64" s="3">
        <f>Poland_GVA[[#This Row],[GVA_NOTREND]]-_xlfn.XLOOKUP(Poland_GVA[[#This Row],[QUARTER]],Indicators[QUARTER],Indicators[CLEANED],0)</f>
        <v>-2044.0669708365358</v>
      </c>
    </row>
    <row r="65" spans="1:6" x14ac:dyDescent="0.2">
      <c r="A65" t="s">
        <v>64</v>
      </c>
      <c r="B65" s="2">
        <f t="shared" si="0"/>
        <v>2010</v>
      </c>
      <c r="C65" s="2">
        <f t="shared" si="1"/>
        <v>4</v>
      </c>
      <c r="D65" s="3">
        <v>388457.49009897234</v>
      </c>
      <c r="E65" s="3">
        <f>Poland_GVA[[#This Row],[GVA]]-D64</f>
        <v>54565.977143092838</v>
      </c>
      <c r="F65" s="3">
        <f>Poland_GVA[[#This Row],[GVA_NOTREND]]-_xlfn.XLOOKUP(Poland_GVA[[#This Row],[QUARTER]],Indicators[QUARTER],Indicators[CLEANED],0)</f>
        <v>11542.130004271123</v>
      </c>
    </row>
    <row r="66" spans="1:6" x14ac:dyDescent="0.2">
      <c r="A66" t="s">
        <v>65</v>
      </c>
      <c r="B66" s="2">
        <f t="shared" si="0"/>
        <v>2011</v>
      </c>
      <c r="C66" s="2">
        <f t="shared" si="1"/>
        <v>1</v>
      </c>
      <c r="D66" s="3">
        <v>337852.91544057685</v>
      </c>
      <c r="E66" s="3">
        <f>Poland_GVA[[#This Row],[GVA]]-D65</f>
        <v>-50604.57465839549</v>
      </c>
      <c r="F66" s="3">
        <f>Poland_GVA[[#This Row],[GVA_NOTREND]]-_xlfn.XLOOKUP(Poland_GVA[[#This Row],[QUARTER]],Indicators[QUARTER],Indicators[CLEANED],0)</f>
        <v>1607.0248982651974</v>
      </c>
    </row>
    <row r="67" spans="1:6" x14ac:dyDescent="0.2">
      <c r="A67" t="s">
        <v>66</v>
      </c>
      <c r="B67" s="2">
        <f t="shared" si="0"/>
        <v>2011</v>
      </c>
      <c r="C67" s="2">
        <f t="shared" si="1"/>
        <v>2</v>
      </c>
      <c r="D67" s="3">
        <v>349002.22910343693</v>
      </c>
      <c r="E67" s="3">
        <f>Poland_GVA[[#This Row],[GVA]]-D66</f>
        <v>11149.313662860077</v>
      </c>
      <c r="F67" s="3">
        <f>Poland_GVA[[#This Row],[GVA_NOTREND]]-_xlfn.XLOOKUP(Poland_GVA[[#This Row],[QUARTER]],Indicators[QUARTER],Indicators[CLEANED],0)</f>
        <v>6529.1045067494042</v>
      </c>
    </row>
    <row r="68" spans="1:6" x14ac:dyDescent="0.2">
      <c r="A68" t="s">
        <v>67</v>
      </c>
      <c r="B68" s="2">
        <f t="shared" si="0"/>
        <v>2011</v>
      </c>
      <c r="C68" s="2">
        <f t="shared" si="1"/>
        <v>3</v>
      </c>
      <c r="D68" s="3">
        <v>355259.09981644276</v>
      </c>
      <c r="E68" s="3">
        <f>Poland_GVA[[#This Row],[GVA]]-D67</f>
        <v>6256.8707130058319</v>
      </c>
      <c r="F68" s="3">
        <f>Poland_GVA[[#This Row],[GVA_NOTREND]]-_xlfn.XLOOKUP(Poland_GVA[[#This Row],[QUARTER]],Indicators[QUARTER],Indicators[CLEANED],0)</f>
        <v>1689.3274512775342</v>
      </c>
    </row>
    <row r="69" spans="1:6" x14ac:dyDescent="0.2">
      <c r="A69" t="s">
        <v>68</v>
      </c>
      <c r="B69" s="2">
        <f t="shared" si="0"/>
        <v>2011</v>
      </c>
      <c r="C69" s="2">
        <f t="shared" si="1"/>
        <v>4</v>
      </c>
      <c r="D69" s="3">
        <v>409115.79900066234</v>
      </c>
      <c r="E69" s="3">
        <f>Poland_GVA[[#This Row],[GVA]]-D68</f>
        <v>53856.699184219586</v>
      </c>
      <c r="F69" s="3">
        <f>Poland_GVA[[#This Row],[GVA_NOTREND]]-_xlfn.XLOOKUP(Poland_GVA[[#This Row],[QUARTER]],Indicators[QUARTER],Indicators[CLEANED],0)</f>
        <v>10832.852045397871</v>
      </c>
    </row>
    <row r="70" spans="1:6" x14ac:dyDescent="0.2">
      <c r="A70" t="s">
        <v>69</v>
      </c>
      <c r="B70" s="2">
        <f t="shared" si="0"/>
        <v>2012</v>
      </c>
      <c r="C70" s="2">
        <f t="shared" si="1"/>
        <v>1</v>
      </c>
      <c r="D70" s="3">
        <v>348123.05391015776</v>
      </c>
      <c r="E70" s="3">
        <f>Poland_GVA[[#This Row],[GVA]]-D69</f>
        <v>-60992.745090504584</v>
      </c>
      <c r="F70" s="3">
        <f>Poland_GVA[[#This Row],[GVA_NOTREND]]-_xlfn.XLOOKUP(Poland_GVA[[#This Row],[QUARTER]],Indicators[QUARTER],Indicators[CLEANED],0)</f>
        <v>-8781.1455338438973</v>
      </c>
    </row>
    <row r="71" spans="1:6" x14ac:dyDescent="0.2">
      <c r="A71" t="s">
        <v>70</v>
      </c>
      <c r="B71" s="2">
        <f t="shared" ref="B71:B123" si="2">B67+1</f>
        <v>2012</v>
      </c>
      <c r="C71" s="2">
        <f t="shared" ref="C71:C123" si="3">C67</f>
        <v>2</v>
      </c>
      <c r="D71" s="3">
        <v>354689.1249176393</v>
      </c>
      <c r="E71" s="3">
        <f>Poland_GVA[[#This Row],[GVA]]-D70</f>
        <v>6566.0710074815433</v>
      </c>
      <c r="F71" s="3">
        <f>Poland_GVA[[#This Row],[GVA_NOTREND]]-_xlfn.XLOOKUP(Poland_GVA[[#This Row],[QUARTER]],Indicators[QUARTER],Indicators[CLEANED],0)</f>
        <v>1945.8618513708707</v>
      </c>
    </row>
    <row r="72" spans="1:6" x14ac:dyDescent="0.2">
      <c r="A72" t="s">
        <v>71</v>
      </c>
      <c r="B72" s="2">
        <f t="shared" si="2"/>
        <v>2012</v>
      </c>
      <c r="C72" s="2">
        <f t="shared" si="3"/>
        <v>3</v>
      </c>
      <c r="D72" s="3">
        <v>359178.95577445271</v>
      </c>
      <c r="E72" s="3">
        <f>Poland_GVA[[#This Row],[GVA]]-D71</f>
        <v>4489.8308568134089</v>
      </c>
      <c r="F72" s="3">
        <f>Poland_GVA[[#This Row],[GVA_NOTREND]]-_xlfn.XLOOKUP(Poland_GVA[[#This Row],[QUARTER]],Indicators[QUARTER],Indicators[CLEANED],0)</f>
        <v>-77.712404914888793</v>
      </c>
    </row>
    <row r="73" spans="1:6" x14ac:dyDescent="0.2">
      <c r="A73" t="s">
        <v>72</v>
      </c>
      <c r="B73" s="2">
        <f t="shared" si="2"/>
        <v>2012</v>
      </c>
      <c r="C73" s="2">
        <f t="shared" si="3"/>
        <v>4</v>
      </c>
      <c r="D73" s="3">
        <v>408714.00154539978</v>
      </c>
      <c r="E73" s="3">
        <f>Poland_GVA[[#This Row],[GVA]]-D72</f>
        <v>49535.045770947065</v>
      </c>
      <c r="F73" s="3">
        <f>Poland_GVA[[#This Row],[GVA_NOTREND]]-_xlfn.XLOOKUP(Poland_GVA[[#This Row],[QUARTER]],Indicators[QUARTER],Indicators[CLEANED],0)</f>
        <v>6511.1986321253498</v>
      </c>
    </row>
    <row r="74" spans="1:6" x14ac:dyDescent="0.2">
      <c r="A74" t="s">
        <v>73</v>
      </c>
      <c r="B74" s="2">
        <f t="shared" si="2"/>
        <v>2013</v>
      </c>
      <c r="C74" s="2">
        <f t="shared" si="3"/>
        <v>1</v>
      </c>
      <c r="D74" s="3">
        <v>345448.05499252368</v>
      </c>
      <c r="E74" s="3">
        <f>Poland_GVA[[#This Row],[GVA]]-D73</f>
        <v>-63265.946552876092</v>
      </c>
      <c r="F74" s="3">
        <f>Poland_GVA[[#This Row],[GVA_NOTREND]]-_xlfn.XLOOKUP(Poland_GVA[[#This Row],[QUARTER]],Indicators[QUARTER],Indicators[CLEANED],0)</f>
        <v>-11054.346996215405</v>
      </c>
    </row>
    <row r="75" spans="1:6" x14ac:dyDescent="0.2">
      <c r="A75" t="s">
        <v>74</v>
      </c>
      <c r="B75" s="2">
        <f t="shared" si="2"/>
        <v>2013</v>
      </c>
      <c r="C75" s="2">
        <f t="shared" si="3"/>
        <v>2</v>
      </c>
      <c r="D75" s="3">
        <v>358359.61120021576</v>
      </c>
      <c r="E75" s="3">
        <f>Poland_GVA[[#This Row],[GVA]]-D74</f>
        <v>12911.556207692076</v>
      </c>
      <c r="F75" s="3">
        <f>Poland_GVA[[#This Row],[GVA_NOTREND]]-_xlfn.XLOOKUP(Poland_GVA[[#This Row],[QUARTER]],Indicators[QUARTER],Indicators[CLEANED],0)</f>
        <v>8291.3470515814042</v>
      </c>
    </row>
    <row r="76" spans="1:6" x14ac:dyDescent="0.2">
      <c r="A76" t="s">
        <v>75</v>
      </c>
      <c r="B76" s="2">
        <f t="shared" si="2"/>
        <v>2013</v>
      </c>
      <c r="C76" s="2">
        <f t="shared" si="3"/>
        <v>3</v>
      </c>
      <c r="D76" s="3">
        <v>362974.80575956096</v>
      </c>
      <c r="E76" s="3">
        <f>Poland_GVA[[#This Row],[GVA]]-D75</f>
        <v>4615.1945593451965</v>
      </c>
      <c r="F76" s="3">
        <f>Poland_GVA[[#This Row],[GVA_NOTREND]]-_xlfn.XLOOKUP(Poland_GVA[[#This Row],[QUARTER]],Indicators[QUARTER],Indicators[CLEANED],0)</f>
        <v>47.651297616898773</v>
      </c>
    </row>
    <row r="77" spans="1:6" x14ac:dyDescent="0.2">
      <c r="A77" t="s">
        <v>76</v>
      </c>
      <c r="B77" s="2">
        <f t="shared" si="2"/>
        <v>2013</v>
      </c>
      <c r="C77" s="2">
        <f t="shared" si="3"/>
        <v>4</v>
      </c>
      <c r="D77" s="3">
        <v>412852.99506574136</v>
      </c>
      <c r="E77" s="3">
        <f>Poland_GVA[[#This Row],[GVA]]-D76</f>
        <v>49878.1893061804</v>
      </c>
      <c r="F77" s="3">
        <f>Poland_GVA[[#This Row],[GVA_NOTREND]]-_xlfn.XLOOKUP(Poland_GVA[[#This Row],[QUARTER]],Indicators[QUARTER],Indicators[CLEANED],0)</f>
        <v>6854.3421673586854</v>
      </c>
    </row>
    <row r="78" spans="1:6" x14ac:dyDescent="0.2">
      <c r="A78" t="s">
        <v>77</v>
      </c>
      <c r="B78" s="2">
        <f t="shared" si="2"/>
        <v>2014</v>
      </c>
      <c r="C78" s="2">
        <f t="shared" si="3"/>
        <v>1</v>
      </c>
      <c r="D78" s="3">
        <v>360086.73380527704</v>
      </c>
      <c r="E78" s="3">
        <f>Poland_GVA[[#This Row],[GVA]]-D77</f>
        <v>-52766.261260464322</v>
      </c>
      <c r="F78" s="3">
        <f>Poland_GVA[[#This Row],[GVA_NOTREND]]-_xlfn.XLOOKUP(Poland_GVA[[#This Row],[QUARTER]],Indicators[QUARTER],Indicators[CLEANED],0)</f>
        <v>-554.66170380363474</v>
      </c>
    </row>
    <row r="79" spans="1:6" x14ac:dyDescent="0.2">
      <c r="A79" t="s">
        <v>78</v>
      </c>
      <c r="B79" s="2">
        <f t="shared" si="2"/>
        <v>2014</v>
      </c>
      <c r="C79" s="2">
        <f t="shared" si="3"/>
        <v>2</v>
      </c>
      <c r="D79" s="3">
        <v>370472.36980874283</v>
      </c>
      <c r="E79" s="3">
        <f>Poland_GVA[[#This Row],[GVA]]-D78</f>
        <v>10385.636003465799</v>
      </c>
      <c r="F79" s="3">
        <f>Poland_GVA[[#This Row],[GVA_NOTREND]]-_xlfn.XLOOKUP(Poland_GVA[[#This Row],[QUARTER]],Indicators[QUARTER],Indicators[CLEANED],0)</f>
        <v>5765.4268473551265</v>
      </c>
    </row>
    <row r="80" spans="1:6" x14ac:dyDescent="0.2">
      <c r="A80" t="s">
        <v>79</v>
      </c>
      <c r="B80" s="2">
        <f t="shared" si="2"/>
        <v>2014</v>
      </c>
      <c r="C80" s="2">
        <f t="shared" si="3"/>
        <v>3</v>
      </c>
      <c r="D80" s="3">
        <v>376510.10295941686</v>
      </c>
      <c r="E80" s="3">
        <f>Poland_GVA[[#This Row],[GVA]]-D79</f>
        <v>6037.7331506740302</v>
      </c>
      <c r="F80" s="3">
        <f>Poland_GVA[[#This Row],[GVA_NOTREND]]-_xlfn.XLOOKUP(Poland_GVA[[#This Row],[QUARTER]],Indicators[QUARTER],Indicators[CLEANED],0)</f>
        <v>1470.1898889457325</v>
      </c>
    </row>
    <row r="81" spans="1:6" x14ac:dyDescent="0.2">
      <c r="A81" t="s">
        <v>80</v>
      </c>
      <c r="B81" s="2">
        <f t="shared" si="2"/>
        <v>2014</v>
      </c>
      <c r="C81" s="2">
        <f t="shared" si="3"/>
        <v>4</v>
      </c>
      <c r="D81" s="3">
        <v>429238.61933615856</v>
      </c>
      <c r="E81" s="3">
        <f>Poland_GVA[[#This Row],[GVA]]-D80</f>
        <v>52728.516376741696</v>
      </c>
      <c r="F81" s="3">
        <f>Poland_GVA[[#This Row],[GVA_NOTREND]]-_xlfn.XLOOKUP(Poland_GVA[[#This Row],[QUARTER]],Indicators[QUARTER],Indicators[CLEANED],0)</f>
        <v>9704.6692379199812</v>
      </c>
    </row>
    <row r="82" spans="1:6" x14ac:dyDescent="0.2">
      <c r="A82" t="s">
        <v>81</v>
      </c>
      <c r="B82" s="2">
        <f t="shared" si="2"/>
        <v>2015</v>
      </c>
      <c r="C82" s="2">
        <f t="shared" si="3"/>
        <v>1</v>
      </c>
      <c r="D82" s="3">
        <v>372704.20577504428</v>
      </c>
      <c r="E82" s="3">
        <f>Poland_GVA[[#This Row],[GVA]]-D81</f>
        <v>-56534.413561114285</v>
      </c>
      <c r="F82" s="3">
        <f>Poland_GVA[[#This Row],[GVA_NOTREND]]-_xlfn.XLOOKUP(Poland_GVA[[#This Row],[QUARTER]],Indicators[QUARTER],Indicators[CLEANED],0)</f>
        <v>-4322.8140044535976</v>
      </c>
    </row>
    <row r="83" spans="1:6" x14ac:dyDescent="0.2">
      <c r="A83" t="s">
        <v>82</v>
      </c>
      <c r="B83" s="2">
        <f t="shared" si="2"/>
        <v>2015</v>
      </c>
      <c r="C83" s="2">
        <f t="shared" si="3"/>
        <v>2</v>
      </c>
      <c r="D83" s="3">
        <v>384866.92883396684</v>
      </c>
      <c r="E83" s="3">
        <f>Poland_GVA[[#This Row],[GVA]]-D82</f>
        <v>12162.723058922566</v>
      </c>
      <c r="F83" s="3">
        <f>Poland_GVA[[#This Row],[GVA_NOTREND]]-_xlfn.XLOOKUP(Poland_GVA[[#This Row],[QUARTER]],Indicators[QUARTER],Indicators[CLEANED],0)</f>
        <v>7542.5139028118929</v>
      </c>
    </row>
    <row r="84" spans="1:6" x14ac:dyDescent="0.2">
      <c r="A84" t="s">
        <v>83</v>
      </c>
      <c r="B84" s="2">
        <f t="shared" si="2"/>
        <v>2015</v>
      </c>
      <c r="C84" s="2">
        <f t="shared" si="3"/>
        <v>3</v>
      </c>
      <c r="D84" s="3">
        <v>394199.05715962179</v>
      </c>
      <c r="E84" s="3">
        <f>Poland_GVA[[#This Row],[GVA]]-D83</f>
        <v>9332.1283256549505</v>
      </c>
      <c r="F84" s="3">
        <f>Poland_GVA[[#This Row],[GVA_NOTREND]]-_xlfn.XLOOKUP(Poland_GVA[[#This Row],[QUARTER]],Indicators[QUARTER],Indicators[CLEANED],0)</f>
        <v>4764.5850639266528</v>
      </c>
    </row>
    <row r="85" spans="1:6" x14ac:dyDescent="0.2">
      <c r="A85" t="s">
        <v>84</v>
      </c>
      <c r="B85" s="2">
        <f t="shared" si="2"/>
        <v>2015</v>
      </c>
      <c r="C85" s="2">
        <f t="shared" si="3"/>
        <v>4</v>
      </c>
      <c r="D85" s="3">
        <v>454709.8082313668</v>
      </c>
      <c r="E85" s="3">
        <f>Poland_GVA[[#This Row],[GVA]]-D84</f>
        <v>60510.751071745006</v>
      </c>
      <c r="F85" s="3">
        <f>Poland_GVA[[#This Row],[GVA_NOTREND]]-_xlfn.XLOOKUP(Poland_GVA[[#This Row],[QUARTER]],Indicators[QUARTER],Indicators[CLEANED],0)</f>
        <v>17486.903932923291</v>
      </c>
    </row>
    <row r="86" spans="1:6" x14ac:dyDescent="0.2">
      <c r="A86" t="s">
        <v>85</v>
      </c>
      <c r="B86" s="2">
        <f t="shared" si="2"/>
        <v>2016</v>
      </c>
      <c r="C86" s="2">
        <f t="shared" si="3"/>
        <v>1</v>
      </c>
      <c r="D86" s="3">
        <v>383418.32183373615</v>
      </c>
      <c r="E86" s="3">
        <f>Poland_GVA[[#This Row],[GVA]]-D85</f>
        <v>-71291.486397630651</v>
      </c>
      <c r="F86" s="3">
        <f>Poland_GVA[[#This Row],[GVA_NOTREND]]-_xlfn.XLOOKUP(Poland_GVA[[#This Row],[QUARTER]],Indicators[QUARTER],Indicators[CLEANED],0)</f>
        <v>-19079.886840969964</v>
      </c>
    </row>
    <row r="87" spans="1:6" x14ac:dyDescent="0.2">
      <c r="A87" t="s">
        <v>86</v>
      </c>
      <c r="B87" s="2">
        <f t="shared" si="2"/>
        <v>2016</v>
      </c>
      <c r="C87" s="2">
        <f t="shared" si="3"/>
        <v>2</v>
      </c>
      <c r="D87" s="3">
        <v>398104.43066824164</v>
      </c>
      <c r="E87" s="3">
        <f>Poland_GVA[[#This Row],[GVA]]-D86</f>
        <v>14686.108834505489</v>
      </c>
      <c r="F87" s="3">
        <f>Poland_GVA[[#This Row],[GVA_NOTREND]]-_xlfn.XLOOKUP(Poland_GVA[[#This Row],[QUARTER]],Indicators[QUARTER],Indicators[CLEANED],0)</f>
        <v>10065.899678394817</v>
      </c>
    </row>
    <row r="88" spans="1:6" x14ac:dyDescent="0.2">
      <c r="A88" t="s">
        <v>87</v>
      </c>
      <c r="B88" s="2">
        <f t="shared" si="2"/>
        <v>2016</v>
      </c>
      <c r="C88" s="2">
        <f t="shared" si="3"/>
        <v>3</v>
      </c>
      <c r="D88" s="3">
        <v>401558.13278651214</v>
      </c>
      <c r="E88" s="3">
        <f>Poland_GVA[[#This Row],[GVA]]-D87</f>
        <v>3453.7021182705066</v>
      </c>
      <c r="F88" s="3">
        <f>Poland_GVA[[#This Row],[GVA_NOTREND]]-_xlfn.XLOOKUP(Poland_GVA[[#This Row],[QUARTER]],Indicators[QUARTER],Indicators[CLEANED],0)</f>
        <v>-1113.8411434577911</v>
      </c>
    </row>
    <row r="89" spans="1:6" x14ac:dyDescent="0.2">
      <c r="A89" t="s">
        <v>88</v>
      </c>
      <c r="B89" s="2">
        <f t="shared" si="2"/>
        <v>2016</v>
      </c>
      <c r="C89" s="2">
        <f t="shared" si="3"/>
        <v>4</v>
      </c>
      <c r="D89" s="3">
        <v>469949.50869380351</v>
      </c>
      <c r="E89" s="3">
        <f>Poland_GVA[[#This Row],[GVA]]-D88</f>
        <v>68391.375907291367</v>
      </c>
      <c r="F89" s="3">
        <f>Poland_GVA[[#This Row],[GVA_NOTREND]]-_xlfn.XLOOKUP(Poland_GVA[[#This Row],[QUARTER]],Indicators[QUARTER],Indicators[CLEANED],0)</f>
        <v>25367.528768469652</v>
      </c>
    </row>
    <row r="90" spans="1:6" x14ac:dyDescent="0.2">
      <c r="A90" t="s">
        <v>89</v>
      </c>
      <c r="B90" s="2">
        <f t="shared" si="2"/>
        <v>2017</v>
      </c>
      <c r="C90" s="2">
        <f t="shared" si="3"/>
        <v>1</v>
      </c>
      <c r="D90" s="3">
        <v>408404.52970499807</v>
      </c>
      <c r="E90" s="3">
        <f>Poland_GVA[[#This Row],[GVA]]-D89</f>
        <v>-61544.978988805437</v>
      </c>
      <c r="F90" s="3">
        <f>Poland_GVA[[#This Row],[GVA_NOTREND]]-_xlfn.XLOOKUP(Poland_GVA[[#This Row],[QUARTER]],Indicators[QUARTER],Indicators[CLEANED],0)</f>
        <v>-9333.3794321447494</v>
      </c>
    </row>
    <row r="91" spans="1:6" x14ac:dyDescent="0.2">
      <c r="A91" t="s">
        <v>90</v>
      </c>
      <c r="B91" s="2">
        <f t="shared" si="2"/>
        <v>2017</v>
      </c>
      <c r="C91" s="2">
        <f t="shared" si="3"/>
        <v>2</v>
      </c>
      <c r="D91" s="3">
        <v>416469.89628557506</v>
      </c>
      <c r="E91" s="3">
        <f>Poland_GVA[[#This Row],[GVA]]-D90</f>
        <v>8065.3665805769851</v>
      </c>
      <c r="F91" s="3">
        <f>Poland_GVA[[#This Row],[GVA_NOTREND]]-_xlfn.XLOOKUP(Poland_GVA[[#This Row],[QUARTER]],Indicators[QUARTER],Indicators[CLEANED],0)</f>
        <v>3445.1574244663125</v>
      </c>
    </row>
    <row r="92" spans="1:6" x14ac:dyDescent="0.2">
      <c r="A92" t="s">
        <v>91</v>
      </c>
      <c r="B92" s="2">
        <f t="shared" si="2"/>
        <v>2017</v>
      </c>
      <c r="C92" s="2">
        <f t="shared" si="3"/>
        <v>3</v>
      </c>
      <c r="D92" s="3">
        <v>424010.54562169209</v>
      </c>
      <c r="E92" s="3">
        <f>Poland_GVA[[#This Row],[GVA]]-D91</f>
        <v>7540.6493361170287</v>
      </c>
      <c r="F92" s="3">
        <f>Poland_GVA[[#This Row],[GVA_NOTREND]]-_xlfn.XLOOKUP(Poland_GVA[[#This Row],[QUARTER]],Indicators[QUARTER],Indicators[CLEANED],0)</f>
        <v>2973.106074388731</v>
      </c>
    </row>
    <row r="93" spans="1:6" x14ac:dyDescent="0.2">
      <c r="A93" t="s">
        <v>92</v>
      </c>
      <c r="B93" s="2">
        <f t="shared" si="2"/>
        <v>2017</v>
      </c>
      <c r="C93" s="2">
        <f t="shared" si="3"/>
        <v>4</v>
      </c>
      <c r="D93" s="3">
        <v>486928.73235859181</v>
      </c>
      <c r="E93" s="3">
        <f>Poland_GVA[[#This Row],[GVA]]-D92</f>
        <v>62918.186736899719</v>
      </c>
      <c r="F93" s="3">
        <f>Poland_GVA[[#This Row],[GVA_NOTREND]]-_xlfn.XLOOKUP(Poland_GVA[[#This Row],[QUARTER]],Indicators[QUARTER],Indicators[CLEANED],0)</f>
        <v>19894.339598078004</v>
      </c>
    </row>
    <row r="94" spans="1:6" x14ac:dyDescent="0.2">
      <c r="A94" t="s">
        <v>93</v>
      </c>
      <c r="B94" s="2">
        <f t="shared" si="2"/>
        <v>2018</v>
      </c>
      <c r="C94" s="2">
        <f t="shared" si="3"/>
        <v>1</v>
      </c>
      <c r="D94" s="3">
        <v>433115.57103785081</v>
      </c>
      <c r="E94" s="3">
        <f>Poland_GVA[[#This Row],[GVA]]-D93</f>
        <v>-53813.161320740997</v>
      </c>
      <c r="F94" s="3">
        <f>Poland_GVA[[#This Row],[GVA_NOTREND]]-_xlfn.XLOOKUP(Poland_GVA[[#This Row],[QUARTER]],Indicators[QUARTER],Indicators[CLEANED],0)</f>
        <v>-1601.5617640803102</v>
      </c>
    </row>
    <row r="95" spans="1:6" x14ac:dyDescent="0.2">
      <c r="A95" t="s">
        <v>94</v>
      </c>
      <c r="B95" s="2">
        <f t="shared" si="2"/>
        <v>2018</v>
      </c>
      <c r="C95" s="2">
        <f t="shared" si="3"/>
        <v>2</v>
      </c>
      <c r="D95" s="3">
        <v>444222.88559748005</v>
      </c>
      <c r="E95" s="3">
        <f>Poland_GVA[[#This Row],[GVA]]-D94</f>
        <v>11107.314559629245</v>
      </c>
      <c r="F95" s="3">
        <f>Poland_GVA[[#This Row],[GVA_NOTREND]]-_xlfn.XLOOKUP(Poland_GVA[[#This Row],[QUARTER]],Indicators[QUARTER],Indicators[CLEANED],0)</f>
        <v>6487.1054035185725</v>
      </c>
    </row>
    <row r="96" spans="1:6" x14ac:dyDescent="0.2">
      <c r="A96" t="s">
        <v>95</v>
      </c>
      <c r="B96" s="2">
        <f t="shared" si="2"/>
        <v>2018</v>
      </c>
      <c r="C96" s="2">
        <f t="shared" si="3"/>
        <v>3</v>
      </c>
      <c r="D96" s="3">
        <v>452638.63693798537</v>
      </c>
      <c r="E96" s="3">
        <f>Poland_GVA[[#This Row],[GVA]]-D95</f>
        <v>8415.7513405053178</v>
      </c>
      <c r="F96" s="3">
        <f>Poland_GVA[[#This Row],[GVA_NOTREND]]-_xlfn.XLOOKUP(Poland_GVA[[#This Row],[QUARTER]],Indicators[QUARTER],Indicators[CLEANED],0)</f>
        <v>3848.2080787770201</v>
      </c>
    </row>
    <row r="97" spans="1:6" x14ac:dyDescent="0.2">
      <c r="A97" t="s">
        <v>96</v>
      </c>
      <c r="B97" s="2">
        <f t="shared" si="2"/>
        <v>2018</v>
      </c>
      <c r="C97" s="2">
        <f t="shared" si="3"/>
        <v>4</v>
      </c>
      <c r="D97" s="3">
        <v>514183.88747271692</v>
      </c>
      <c r="E97" s="3">
        <f>Poland_GVA[[#This Row],[GVA]]-D96</f>
        <v>61545.250534731545</v>
      </c>
      <c r="F97" s="3">
        <f>Poland_GVA[[#This Row],[GVA_NOTREND]]-_xlfn.XLOOKUP(Poland_GVA[[#This Row],[QUARTER]],Indicators[QUARTER],Indicators[CLEANED],0)</f>
        <v>18521.403395909831</v>
      </c>
    </row>
    <row r="98" spans="1:6" x14ac:dyDescent="0.2">
      <c r="A98" t="s">
        <v>97</v>
      </c>
      <c r="B98" s="2">
        <f t="shared" si="2"/>
        <v>2019</v>
      </c>
      <c r="C98" s="2">
        <f t="shared" si="3"/>
        <v>1</v>
      </c>
      <c r="D98" s="3">
        <v>454562.44930882409</v>
      </c>
      <c r="E98" s="3">
        <f>Poland_GVA[[#This Row],[GVA]]-D97</f>
        <v>-59621.438163892832</v>
      </c>
      <c r="F98" s="3">
        <f>Poland_GVA[[#This Row],[GVA_NOTREND]]-_xlfn.XLOOKUP(Poland_GVA[[#This Row],[QUARTER]],Indicators[QUARTER],Indicators[CLEANED],0)</f>
        <v>-7409.8386072321446</v>
      </c>
    </row>
    <row r="99" spans="1:6" x14ac:dyDescent="0.2">
      <c r="A99" t="s">
        <v>98</v>
      </c>
      <c r="B99" s="2">
        <f t="shared" si="2"/>
        <v>2019</v>
      </c>
      <c r="C99" s="2">
        <f t="shared" si="3"/>
        <v>2</v>
      </c>
      <c r="D99" s="3">
        <v>466250.41957368207</v>
      </c>
      <c r="E99" s="3">
        <f>Poland_GVA[[#This Row],[GVA]]-D98</f>
        <v>11687.970264857984</v>
      </c>
      <c r="F99" s="3">
        <f>Poland_GVA[[#This Row],[GVA_NOTREND]]-_xlfn.XLOOKUP(Poland_GVA[[#This Row],[QUARTER]],Indicators[QUARTER],Indicators[CLEANED],0)</f>
        <v>7067.7611087473115</v>
      </c>
    </row>
    <row r="100" spans="1:6" x14ac:dyDescent="0.2">
      <c r="A100" t="s">
        <v>99</v>
      </c>
      <c r="B100" s="2">
        <f t="shared" si="2"/>
        <v>2019</v>
      </c>
      <c r="C100" s="2">
        <f t="shared" si="3"/>
        <v>3</v>
      </c>
      <c r="D100" s="3">
        <v>473887.82977478579</v>
      </c>
      <c r="E100" s="3">
        <f>Poland_GVA[[#This Row],[GVA]]-D99</f>
        <v>7637.4102011037176</v>
      </c>
      <c r="F100" s="3">
        <f>Poland_GVA[[#This Row],[GVA_NOTREND]]-_xlfn.XLOOKUP(Poland_GVA[[#This Row],[QUARTER]],Indicators[QUARTER],Indicators[CLEANED],0)</f>
        <v>3069.8669393754199</v>
      </c>
    </row>
    <row r="101" spans="1:6" x14ac:dyDescent="0.2">
      <c r="A101" t="s">
        <v>100</v>
      </c>
      <c r="B101" s="2">
        <f t="shared" si="2"/>
        <v>2019</v>
      </c>
      <c r="C101" s="2">
        <f t="shared" si="3"/>
        <v>4</v>
      </c>
      <c r="D101" s="3">
        <v>532085.1905871022</v>
      </c>
      <c r="E101" s="3">
        <f>Poland_GVA[[#This Row],[GVA]]-D100</f>
        <v>58197.360812316416</v>
      </c>
      <c r="F101" s="3">
        <f>Poland_GVA[[#This Row],[GVA_NOTREND]]-_xlfn.XLOOKUP(Poland_GVA[[#This Row],[QUARTER]],Indicators[QUARTER],Indicators[CLEANED],0)</f>
        <v>15173.513673494701</v>
      </c>
    </row>
    <row r="102" spans="1:6" x14ac:dyDescent="0.2">
      <c r="A102" t="s">
        <v>101</v>
      </c>
      <c r="B102" s="2">
        <f t="shared" si="2"/>
        <v>2020</v>
      </c>
      <c r="C102" s="2">
        <f t="shared" si="3"/>
        <v>1</v>
      </c>
      <c r="D102" s="3">
        <v>466694.03510155826</v>
      </c>
      <c r="E102" s="3">
        <f>Poland_GVA[[#This Row],[GVA]]-D101</f>
        <v>-65391.155485543946</v>
      </c>
      <c r="F102" s="3">
        <f>Poland_GVA[[#This Row],[GVA_NOTREND]]-_xlfn.XLOOKUP(Poland_GVA[[#This Row],[QUARTER]],Indicators[QUARTER],Indicators[CLEANED],0)</f>
        <v>-13179.555928883259</v>
      </c>
    </row>
    <row r="103" spans="1:6" x14ac:dyDescent="0.2">
      <c r="A103" t="s">
        <v>102</v>
      </c>
      <c r="B103" s="2">
        <f t="shared" si="2"/>
        <v>2020</v>
      </c>
      <c r="C103" s="2">
        <f t="shared" si="3"/>
        <v>2</v>
      </c>
      <c r="D103" s="3">
        <v>430386.98705747386</v>
      </c>
      <c r="E103" s="3">
        <f>Poland_GVA[[#This Row],[GVA]]-D102</f>
        <v>-36307.048044084397</v>
      </c>
      <c r="F103" s="3">
        <f>Poland_GVA[[#This Row],[GVA_NOTREND]]-_xlfn.XLOOKUP(Poland_GVA[[#This Row],[QUARTER]],Indicators[QUARTER],Indicators[CLEANED],0)</f>
        <v>-40927.257200195068</v>
      </c>
    </row>
    <row r="104" spans="1:6" x14ac:dyDescent="0.2">
      <c r="A104" t="s">
        <v>103</v>
      </c>
      <c r="B104" s="2">
        <f t="shared" si="2"/>
        <v>2020</v>
      </c>
      <c r="C104" s="2">
        <f t="shared" si="3"/>
        <v>3</v>
      </c>
      <c r="D104" s="3">
        <v>466743.81852133624</v>
      </c>
      <c r="E104" s="3">
        <f>Poland_GVA[[#This Row],[GVA]]-D103</f>
        <v>36356.831463862385</v>
      </c>
      <c r="F104" s="3">
        <f>Poland_GVA[[#This Row],[GVA_NOTREND]]-_xlfn.XLOOKUP(Poland_GVA[[#This Row],[QUARTER]],Indicators[QUARTER],Indicators[CLEANED],0)</f>
        <v>31789.288202134088</v>
      </c>
    </row>
    <row r="105" spans="1:6" x14ac:dyDescent="0.2">
      <c r="A105" t="s">
        <v>104</v>
      </c>
      <c r="B105" s="2">
        <f t="shared" si="2"/>
        <v>2020</v>
      </c>
      <c r="C105" s="2">
        <f t="shared" si="3"/>
        <v>4</v>
      </c>
      <c r="D105" s="3">
        <v>523264.65478614747</v>
      </c>
      <c r="E105" s="3">
        <f>Poland_GVA[[#This Row],[GVA]]-D104</f>
        <v>56520.836264811223</v>
      </c>
      <c r="F105" s="3">
        <f>Poland_GVA[[#This Row],[GVA_NOTREND]]-_xlfn.XLOOKUP(Poland_GVA[[#This Row],[QUARTER]],Indicators[QUARTER],Indicators[CLEANED],0)</f>
        <v>13496.989125989508</v>
      </c>
    </row>
    <row r="106" spans="1:6" x14ac:dyDescent="0.2">
      <c r="A106" t="s">
        <v>105</v>
      </c>
      <c r="B106" s="2">
        <f t="shared" si="2"/>
        <v>2021</v>
      </c>
      <c r="C106" s="2">
        <f t="shared" si="3"/>
        <v>1</v>
      </c>
      <c r="D106" s="3">
        <v>466327.81016260968</v>
      </c>
      <c r="E106" s="3">
        <f>Poland_GVA[[#This Row],[GVA]]-D105</f>
        <v>-56936.844623537792</v>
      </c>
      <c r="F106" s="3">
        <f>Poland_GVA[[#This Row],[GVA_NOTREND]]-_xlfn.XLOOKUP(Poland_GVA[[#This Row],[QUARTER]],Indicators[QUARTER],Indicators[CLEANED],0)</f>
        <v>-4725.2450668771053</v>
      </c>
    </row>
    <row r="107" spans="1:6" x14ac:dyDescent="0.2">
      <c r="A107" t="s">
        <v>106</v>
      </c>
      <c r="B107" s="2">
        <f t="shared" si="2"/>
        <v>2021</v>
      </c>
      <c r="C107" s="2">
        <f t="shared" si="3"/>
        <v>2</v>
      </c>
      <c r="D107" s="3">
        <v>477833.57311108016</v>
      </c>
      <c r="E107" s="3">
        <f>Poland_GVA[[#This Row],[GVA]]-D106</f>
        <v>11505.762948470481</v>
      </c>
      <c r="F107" s="3">
        <f>Poland_GVA[[#This Row],[GVA_NOTREND]]-_xlfn.XLOOKUP(Poland_GVA[[#This Row],[QUARTER]],Indicators[QUARTER],Indicators[CLEANED],0)</f>
        <v>6885.5537923598085</v>
      </c>
    </row>
    <row r="108" spans="1:6" x14ac:dyDescent="0.2">
      <c r="A108" t="s">
        <v>107</v>
      </c>
      <c r="B108" s="2">
        <f t="shared" si="2"/>
        <v>2021</v>
      </c>
      <c r="C108" s="2">
        <f t="shared" si="3"/>
        <v>3</v>
      </c>
      <c r="D108" s="3">
        <v>496970.86276558961</v>
      </c>
      <c r="E108" s="3">
        <f>Poland_GVA[[#This Row],[GVA]]-D107</f>
        <v>19137.289654509455</v>
      </c>
      <c r="F108" s="3">
        <f>Poland_GVA[[#This Row],[GVA_NOTREND]]-_xlfn.XLOOKUP(Poland_GVA[[#This Row],[QUARTER]],Indicators[QUARTER],Indicators[CLEANED],0)</f>
        <v>14569.746392781159</v>
      </c>
    </row>
    <row r="109" spans="1:6" x14ac:dyDescent="0.2">
      <c r="A109" t="s">
        <v>108</v>
      </c>
      <c r="B109" s="2">
        <f t="shared" si="2"/>
        <v>2021</v>
      </c>
      <c r="C109" s="2">
        <f t="shared" si="3"/>
        <v>4</v>
      </c>
      <c r="D109" s="3">
        <v>571058.36704856937</v>
      </c>
      <c r="E109" s="3">
        <f>Poland_GVA[[#This Row],[GVA]]-D108</f>
        <v>74087.50428297976</v>
      </c>
      <c r="F109" s="3">
        <f>Poland_GVA[[#This Row],[GVA_NOTREND]]-_xlfn.XLOOKUP(Poland_GVA[[#This Row],[QUARTER]],Indicators[QUARTER],Indicators[CLEANED],0)</f>
        <v>31063.657144158045</v>
      </c>
    </row>
    <row r="110" spans="1:6" x14ac:dyDescent="0.2">
      <c r="A110" t="s">
        <v>109</v>
      </c>
      <c r="B110" s="2">
        <f t="shared" si="2"/>
        <v>2022</v>
      </c>
      <c r="C110" s="2">
        <f t="shared" si="3"/>
        <v>1</v>
      </c>
      <c r="D110" s="3">
        <v>510172.33950700698</v>
      </c>
      <c r="E110" s="3">
        <f>Poland_GVA[[#This Row],[GVA]]-D109</f>
        <v>-60886.027541562391</v>
      </c>
      <c r="F110" s="3">
        <f>Poland_GVA[[#This Row],[GVA_NOTREND]]-_xlfn.XLOOKUP(Poland_GVA[[#This Row],[QUARTER]],Indicators[QUARTER],Indicators[CLEANED],0)</f>
        <v>-8674.4279849017039</v>
      </c>
    </row>
    <row r="111" spans="1:6" x14ac:dyDescent="0.2">
      <c r="A111" t="s">
        <v>110</v>
      </c>
      <c r="B111" s="2">
        <f t="shared" si="2"/>
        <v>2022</v>
      </c>
      <c r="C111" s="2">
        <f t="shared" si="3"/>
        <v>2</v>
      </c>
      <c r="D111" s="3">
        <v>505518.04233430885</v>
      </c>
      <c r="E111" s="3">
        <f>Poland_GVA[[#This Row],[GVA]]-D110</f>
        <v>-4654.2971726981341</v>
      </c>
      <c r="F111" s="3">
        <f>Poland_GVA[[#This Row],[GVA_NOTREND]]-_xlfn.XLOOKUP(Poland_GVA[[#This Row],[QUARTER]],Indicators[QUARTER],Indicators[CLEANED],0)</f>
        <v>-9274.5063288088058</v>
      </c>
    </row>
    <row r="112" spans="1:6" x14ac:dyDescent="0.2">
      <c r="A112" t="s">
        <v>111</v>
      </c>
      <c r="B112" s="2">
        <f t="shared" si="2"/>
        <v>2022</v>
      </c>
      <c r="C112" s="2">
        <f t="shared" si="3"/>
        <v>3</v>
      </c>
      <c r="D112" s="3">
        <v>527594.72612312797</v>
      </c>
      <c r="E112" s="3">
        <f>Poland_GVA[[#This Row],[GVA]]-D111</f>
        <v>22076.683788819122</v>
      </c>
      <c r="F112" s="3">
        <f>Poland_GVA[[#This Row],[GVA_NOTREND]]-_xlfn.XLOOKUP(Poland_GVA[[#This Row],[QUARTER]],Indicators[QUARTER],Indicators[CLEANED],0)</f>
        <v>17509.140527090825</v>
      </c>
    </row>
    <row r="113" spans="1:6" x14ac:dyDescent="0.2">
      <c r="A113" t="s">
        <v>112</v>
      </c>
      <c r="B113" s="2">
        <f t="shared" si="2"/>
        <v>2022</v>
      </c>
      <c r="C113" s="2">
        <f t="shared" si="3"/>
        <v>4</v>
      </c>
      <c r="D113" s="3">
        <v>578690.25581584312</v>
      </c>
      <c r="E113" s="3">
        <f>Poland_GVA[[#This Row],[GVA]]-D112</f>
        <v>51095.52969271515</v>
      </c>
      <c r="F113" s="3">
        <f>Poland_GVA[[#This Row],[GVA_NOTREND]]-_xlfn.XLOOKUP(Poland_GVA[[#This Row],[QUARTER]],Indicators[QUARTER],Indicators[CLEANED],0)</f>
        <v>8071.6825538934354</v>
      </c>
    </row>
    <row r="114" spans="1:6" x14ac:dyDescent="0.2">
      <c r="A114" t="s">
        <v>113</v>
      </c>
      <c r="B114" s="2">
        <f t="shared" si="2"/>
        <v>2023</v>
      </c>
      <c r="C114" s="2">
        <f t="shared" si="3"/>
        <v>1</v>
      </c>
      <c r="D114" s="3">
        <v>509811.99806312309</v>
      </c>
      <c r="E114" s="3">
        <f>Poland_GVA[[#This Row],[GVA]]-D113</f>
        <v>-68878.257752720034</v>
      </c>
      <c r="F114" s="3">
        <f>Poland_GVA[[#This Row],[GVA_NOTREND]]-_xlfn.XLOOKUP(Poland_GVA[[#This Row],[QUARTER]],Indicators[QUARTER],Indicators[CLEANED],0)</f>
        <v>-16666.658196059347</v>
      </c>
    </row>
    <row r="115" spans="1:6" x14ac:dyDescent="0.2">
      <c r="A115" t="s">
        <v>114</v>
      </c>
      <c r="B115" s="2">
        <f t="shared" si="2"/>
        <v>2023</v>
      </c>
      <c r="C115" s="2">
        <f t="shared" si="3"/>
        <v>2</v>
      </c>
      <c r="D115" s="3">
        <v>505479.12075157335</v>
      </c>
      <c r="E115" s="3">
        <f>Poland_GVA[[#This Row],[GVA]]-D114</f>
        <v>-4332.8773115497315</v>
      </c>
      <c r="F115" s="3">
        <f>Poland_GVA[[#This Row],[GVA_NOTREND]]-_xlfn.XLOOKUP(Poland_GVA[[#This Row],[QUARTER]],Indicators[QUARTER],Indicators[CLEANED],0)</f>
        <v>-8953.0864676604033</v>
      </c>
    </row>
    <row r="116" spans="1:6" x14ac:dyDescent="0.2">
      <c r="A116" t="s">
        <v>115</v>
      </c>
      <c r="B116" s="2">
        <f t="shared" si="2"/>
        <v>2023</v>
      </c>
      <c r="C116" s="2">
        <f t="shared" si="3"/>
        <v>3</v>
      </c>
      <c r="D116" s="3">
        <v>535661.3599180266</v>
      </c>
      <c r="E116" s="3">
        <f>Poland_GVA[[#This Row],[GVA]]-D115</f>
        <v>30182.239166453248</v>
      </c>
      <c r="F116" s="3">
        <f>Poland_GVA[[#This Row],[GVA_NOTREND]]-_xlfn.XLOOKUP(Poland_GVA[[#This Row],[QUARTER]],Indicators[QUARTER],Indicators[CLEANED],0)</f>
        <v>25614.695904724951</v>
      </c>
    </row>
    <row r="117" spans="1:6" x14ac:dyDescent="0.2">
      <c r="A117" t="s">
        <v>116</v>
      </c>
      <c r="B117" s="2">
        <f t="shared" si="2"/>
        <v>2023</v>
      </c>
      <c r="C117" s="2">
        <f t="shared" si="3"/>
        <v>4</v>
      </c>
      <c r="D117" s="3">
        <v>598689.07017843786</v>
      </c>
      <c r="E117" s="3">
        <f>Poland_GVA[[#This Row],[GVA]]-D116</f>
        <v>63027.710260411259</v>
      </c>
      <c r="F117" s="3">
        <f>Poland_GVA[[#This Row],[GVA_NOTREND]]-_xlfn.XLOOKUP(Poland_GVA[[#This Row],[QUARTER]],Indicators[QUARTER],Indicators[CLEANED],0)</f>
        <v>20003.863121589544</v>
      </c>
    </row>
    <row r="118" spans="1:6" x14ac:dyDescent="0.2">
      <c r="A118" t="s">
        <v>117</v>
      </c>
      <c r="B118" s="2">
        <f t="shared" si="2"/>
        <v>2024</v>
      </c>
      <c r="C118" s="2">
        <f t="shared" si="3"/>
        <v>1</v>
      </c>
      <c r="D118" s="3">
        <v>515285.73032536684</v>
      </c>
      <c r="E118" s="3">
        <f>Poland_GVA[[#This Row],[GVA]]-D117</f>
        <v>-83403.339853071026</v>
      </c>
      <c r="F118" s="3">
        <f>Poland_GVA[[#This Row],[GVA_NOTREND]]-_xlfn.XLOOKUP(Poland_GVA[[#This Row],[QUARTER]],Indicators[QUARTER],Indicators[CLEANED],0)</f>
        <v>-31191.740296410338</v>
      </c>
    </row>
    <row r="119" spans="1:6" x14ac:dyDescent="0.2">
      <c r="A119" t="s">
        <v>118</v>
      </c>
      <c r="B119" s="2">
        <f t="shared" si="2"/>
        <v>2024</v>
      </c>
      <c r="C119" s="2">
        <f t="shared" si="3"/>
        <v>2</v>
      </c>
      <c r="D119" s="3">
        <v>526294.02113729226</v>
      </c>
      <c r="E119" s="3">
        <f>Poland_GVA[[#This Row],[GVA]]-D118</f>
        <v>11008.290811925428</v>
      </c>
      <c r="F119" s="3">
        <f>Poland_GVA[[#This Row],[GVA_NOTREND]]-_xlfn.XLOOKUP(Poland_GVA[[#This Row],[QUARTER]],Indicators[QUARTER],Indicators[CLEANED],0)</f>
        <v>6388.0816558147553</v>
      </c>
    </row>
    <row r="120" spans="1:6" x14ac:dyDescent="0.2">
      <c r="A120" t="s">
        <v>119</v>
      </c>
      <c r="B120" s="2">
        <f t="shared" si="2"/>
        <v>2024</v>
      </c>
      <c r="C120" s="2">
        <f t="shared" si="3"/>
        <v>3</v>
      </c>
      <c r="D120" s="3">
        <v>537227.54630424199</v>
      </c>
      <c r="E120" s="3">
        <f>Poland_GVA[[#This Row],[GVA]]-D119</f>
        <v>10933.525166949723</v>
      </c>
      <c r="F120" s="3">
        <f>Poland_GVA[[#This Row],[GVA_NOTREND]]-_xlfn.XLOOKUP(Poland_GVA[[#This Row],[QUARTER]],Indicators[QUARTER],Indicators[CLEANED],0)</f>
        <v>6365.9819052214252</v>
      </c>
    </row>
    <row r="121" spans="1:6" x14ac:dyDescent="0.2">
      <c r="A121" t="s">
        <v>120</v>
      </c>
      <c r="B121" s="2">
        <f t="shared" si="2"/>
        <v>2024</v>
      </c>
      <c r="C121" s="2">
        <f t="shared" si="3"/>
        <v>4</v>
      </c>
      <c r="D121" s="3">
        <v>615363.43828356743</v>
      </c>
      <c r="E121" s="3">
        <f>Poland_GVA[[#This Row],[GVA]]-D120</f>
        <v>78135.891979325446</v>
      </c>
      <c r="F121" s="3">
        <f>Poland_GVA[[#This Row],[GVA_NOTREND]]-_xlfn.XLOOKUP(Poland_GVA[[#This Row],[QUARTER]],Indicators[QUARTER],Indicators[CLEANED],0)</f>
        <v>35112.044840503731</v>
      </c>
    </row>
    <row r="122" spans="1:6" x14ac:dyDescent="0.2">
      <c r="A122" t="s">
        <v>121</v>
      </c>
      <c r="B122" s="2">
        <f t="shared" si="2"/>
        <v>2025</v>
      </c>
      <c r="C122" s="2">
        <f t="shared" si="3"/>
        <v>1</v>
      </c>
      <c r="D122" s="3">
        <v>525950.24399489805</v>
      </c>
      <c r="E122" s="3">
        <f>Poland_GVA[[#This Row],[GVA]]-D121</f>
        <v>-89413.194288669387</v>
      </c>
      <c r="F122" s="3">
        <f>Poland_GVA[[#This Row],[GVA_NOTREND]]-_xlfn.XLOOKUP(Poland_GVA[[#This Row],[QUARTER]],Indicators[QUARTER],Indicators[CLEANED],0)</f>
        <v>-37201.5947320087</v>
      </c>
    </row>
    <row r="123" spans="1:6" x14ac:dyDescent="0.2">
      <c r="A123" t="s">
        <v>122</v>
      </c>
      <c r="B123" s="2">
        <f t="shared" si="2"/>
        <v>2025</v>
      </c>
      <c r="C123" s="2">
        <f t="shared" si="3"/>
        <v>2</v>
      </c>
      <c r="D123" s="3">
        <v>537707.54898621037</v>
      </c>
      <c r="E123" s="3">
        <f>Poland_GVA[[#This Row],[GVA]]-D122</f>
        <v>11757.304991312325</v>
      </c>
      <c r="F123" s="3">
        <f>Poland_GVA[[#This Row],[GVA_NOTREND]]-_xlfn.XLOOKUP(Poland_GVA[[#This Row],[QUARTER]],Indicators[QUARTER],Indicators[CLEANED],0)</f>
        <v>7137.0958352016523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2B4F-4D4D-E348-B995-0F16A8E592B8}">
  <dimension ref="A1:C8"/>
  <sheetViews>
    <sheetView workbookViewId="0">
      <selection activeCell="C11" sqref="C11"/>
    </sheetView>
  </sheetViews>
  <sheetFormatPr baseColWidth="10" defaultRowHeight="16" x14ac:dyDescent="0.2"/>
  <cols>
    <col min="1" max="1" width="28.1640625" bestFit="1" customWidth="1"/>
    <col min="2" max="2" width="12.1640625" style="1" bestFit="1" customWidth="1"/>
    <col min="3" max="3" width="11.83203125" style="1" bestFit="1" customWidth="1"/>
  </cols>
  <sheetData>
    <row r="1" spans="1:3" x14ac:dyDescent="0.2">
      <c r="A1" s="1" t="s">
        <v>125</v>
      </c>
      <c r="B1" s="1" t="s">
        <v>127</v>
      </c>
      <c r="C1" s="1" t="s">
        <v>128</v>
      </c>
    </row>
    <row r="2" spans="1:3" x14ac:dyDescent="0.2">
      <c r="A2" s="2">
        <v>1</v>
      </c>
      <c r="B2" s="1">
        <f>AVERAGEIF(Poland_GVA[QUARTER],Indicators[[#This Row],[QUARTER]],Poland_GVA[GVA_NOTREND])</f>
        <v>-49194.973721855138</v>
      </c>
      <c r="C2" s="1" cm="1">
        <f t="array" ref="C2">Indicators[[#This Row],[RAW]]-Table3[AVERAGE_RAW_INDICATORS]</f>
        <v>-52211.599556660687</v>
      </c>
    </row>
    <row r="3" spans="1:3" x14ac:dyDescent="0.2">
      <c r="A3" s="2">
        <v>2</v>
      </c>
      <c r="B3" s="1">
        <f>AVERAGEIF(Poland_GVA[QUARTER],Indicators[[#This Row],[QUARTER]],Poland_GVA[GVA_NOTREND])</f>
        <v>7636.8349909162253</v>
      </c>
      <c r="C3" s="1" cm="1">
        <f t="array" ref="C3">Indicators[[#This Row],[RAW]]-Table3[AVERAGE_RAW_INDICATORS]</f>
        <v>4620.2091561106727</v>
      </c>
    </row>
    <row r="4" spans="1:3" x14ac:dyDescent="0.2">
      <c r="A4" s="2">
        <v>3</v>
      </c>
      <c r="B4" s="1">
        <f>AVERAGEIF(Poland_GVA[QUARTER],Indicators[[#This Row],[QUARTER]],Poland_GVA[GVA_NOTREND])</f>
        <v>7584.1690965338503</v>
      </c>
      <c r="C4" s="1" cm="1">
        <f t="array" ref="C4">Indicators[[#This Row],[RAW]]-Table3[AVERAGE_RAW_INDICATORS]</f>
        <v>4567.5432617282977</v>
      </c>
    </row>
    <row r="5" spans="1:3" x14ac:dyDescent="0.2">
      <c r="A5" s="2">
        <v>4</v>
      </c>
      <c r="B5" s="1">
        <f>AVERAGEIF(Poland_GVA[QUARTER],Indicators[[#This Row],[QUARTER]],Poland_GVA[GVA_NOTREND])</f>
        <v>46040.472973627271</v>
      </c>
      <c r="C5" s="1" cm="1">
        <f t="array" ref="C5">Indicators[[#This Row],[RAW]]-Table3[AVERAGE_RAW_INDICATORS]</f>
        <v>43023.847138821715</v>
      </c>
    </row>
    <row r="7" spans="1:3" x14ac:dyDescent="0.2">
      <c r="A7" s="1" t="s">
        <v>129</v>
      </c>
    </row>
    <row r="8" spans="1:3" x14ac:dyDescent="0.2">
      <c r="A8" s="1">
        <f>AVERAGE(Indicators[RAW])</f>
        <v>3016.6258348055526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6D5D51-A407-0C4D-B91B-18B9F6F5FF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Poland GVA</vt:lpstr>
      <vt:lpstr>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2025-10-29T08:58:24Z</dcterms:created>
  <dcterms:modified xsi:type="dcterms:W3CDTF">2025-11-26T09:24:46Z</dcterms:modified>
</cp:coreProperties>
</file>