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faltynowski/Documents/Repositories/time-series-labs/labs/02_base_versus_real_prices/excel/"/>
    </mc:Choice>
  </mc:AlternateContent>
  <xr:revisionPtr revIDLastSave="0" documentId="13_ncr:1_{280725D2-8749-4F4B-8396-B20F79A93FB2}" xr6:coauthVersionLast="47" xr6:coauthVersionMax="47" xr10:uidLastSave="{00000000-0000-0000-0000-000000000000}"/>
  <bookViews>
    <workbookView xWindow="380" yWindow="500" windowWidth="28040" windowHeight="16020" xr2:uid="{9506F154-253A-2840-AE85-D4C03492854D}"/>
  </bookViews>
  <sheets>
    <sheet name="POLAND_GVA_ANALYSIS" sheetId="1" r:id="rId1"/>
    <sheet name="NANQ" sheetId="2" r:id="rId2"/>
    <sheet name="NANA" sheetId="3" r:id="rId3"/>
  </sheets>
  <definedNames>
    <definedName name="ExternalData_1" localSheetId="1" hidden="1">NANQ!$A$1:$B$124</definedName>
    <definedName name="ExternalData_2" localSheetId="2" hidden="1">NANA!$A$1:$B$31</definedName>
    <definedName name="solver_adj" localSheetId="0" hidden="1">POLAND_GVA_ANALYSIS!$L$82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POLAND_GVA_ANALYSIS!$Q$82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3" i="1" l="1"/>
  <c r="L84" i="1" s="1"/>
  <c r="F5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L81" i="1" s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H117" i="1" s="1"/>
  <c r="E119" i="1"/>
  <c r="H119" i="1" s="1"/>
  <c r="I119" i="1" s="1"/>
  <c r="E120" i="1"/>
  <c r="E121" i="1"/>
  <c r="E122" i="1"/>
  <c r="E123" i="1"/>
  <c r="E124" i="1"/>
  <c r="E3" i="1"/>
  <c r="C7" i="1"/>
  <c r="J7" i="1" s="1"/>
  <c r="C8" i="1"/>
  <c r="J8" i="1" s="1"/>
  <c r="C9" i="1"/>
  <c r="C6" i="1"/>
  <c r="J6" i="1" s="1"/>
  <c r="B7" i="1"/>
  <c r="B11" i="1" s="1"/>
  <c r="B15" i="1" s="1"/>
  <c r="B19" i="1" s="1"/>
  <c r="B23" i="1" s="1"/>
  <c r="B27" i="1" s="1"/>
  <c r="B31" i="1" s="1"/>
  <c r="B35" i="1" s="1"/>
  <c r="B39" i="1" s="1"/>
  <c r="B43" i="1" s="1"/>
  <c r="B47" i="1" s="1"/>
  <c r="B51" i="1" s="1"/>
  <c r="B55" i="1" s="1"/>
  <c r="B59" i="1" s="1"/>
  <c r="B63" i="1" s="1"/>
  <c r="B67" i="1" s="1"/>
  <c r="B71" i="1" s="1"/>
  <c r="B75" i="1" s="1"/>
  <c r="B79" i="1" s="1"/>
  <c r="B83" i="1" s="1"/>
  <c r="B87" i="1" s="1"/>
  <c r="B91" i="1" s="1"/>
  <c r="B95" i="1" s="1"/>
  <c r="B99" i="1" s="1"/>
  <c r="B103" i="1" s="1"/>
  <c r="B107" i="1" s="1"/>
  <c r="B111" i="1" s="1"/>
  <c r="B115" i="1" s="1"/>
  <c r="B119" i="1" s="1"/>
  <c r="B123" i="1" s="1"/>
  <c r="B8" i="1"/>
  <c r="B12" i="1" s="1"/>
  <c r="B16" i="1" s="1"/>
  <c r="B20" i="1" s="1"/>
  <c r="B24" i="1" s="1"/>
  <c r="B28" i="1" s="1"/>
  <c r="B32" i="1" s="1"/>
  <c r="B36" i="1" s="1"/>
  <c r="B40" i="1" s="1"/>
  <c r="B44" i="1" s="1"/>
  <c r="B48" i="1" s="1"/>
  <c r="B52" i="1" s="1"/>
  <c r="B56" i="1" s="1"/>
  <c r="B60" i="1" s="1"/>
  <c r="B64" i="1" s="1"/>
  <c r="B68" i="1" s="1"/>
  <c r="B72" i="1" s="1"/>
  <c r="B76" i="1" s="1"/>
  <c r="B80" i="1" s="1"/>
  <c r="B84" i="1" s="1"/>
  <c r="B88" i="1" s="1"/>
  <c r="B92" i="1" s="1"/>
  <c r="B96" i="1" s="1"/>
  <c r="B100" i="1" s="1"/>
  <c r="B104" i="1" s="1"/>
  <c r="B108" i="1" s="1"/>
  <c r="B112" i="1" s="1"/>
  <c r="B116" i="1" s="1"/>
  <c r="B120" i="1" s="1"/>
  <c r="B124" i="1" s="1"/>
  <c r="B9" i="1"/>
  <c r="B13" i="1" s="1"/>
  <c r="B17" i="1" s="1"/>
  <c r="B21" i="1" s="1"/>
  <c r="B25" i="1" s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  <c r="B85" i="1" s="1"/>
  <c r="B89" i="1" s="1"/>
  <c r="B93" i="1" s="1"/>
  <c r="B97" i="1" s="1"/>
  <c r="B101" i="1" s="1"/>
  <c r="B105" i="1" s="1"/>
  <c r="B109" i="1" s="1"/>
  <c r="B113" i="1" s="1"/>
  <c r="B117" i="1" s="1"/>
  <c r="B121" i="1" s="1"/>
  <c r="B6" i="1"/>
  <c r="B10" i="1" s="1"/>
  <c r="B14" i="1" s="1"/>
  <c r="B18" i="1" s="1"/>
  <c r="B22" i="1" s="1"/>
  <c r="B26" i="1" s="1"/>
  <c r="B30" i="1" s="1"/>
  <c r="B34" i="1" s="1"/>
  <c r="B38" i="1" s="1"/>
  <c r="B42" i="1" s="1"/>
  <c r="B46" i="1" s="1"/>
  <c r="B50" i="1" s="1"/>
  <c r="B54" i="1" s="1"/>
  <c r="B58" i="1" s="1"/>
  <c r="B62" i="1" s="1"/>
  <c r="B66" i="1" s="1"/>
  <c r="B70" i="1" s="1"/>
  <c r="B74" i="1" s="1"/>
  <c r="B78" i="1" s="1"/>
  <c r="B82" i="1" s="1"/>
  <c r="B86" i="1" s="1"/>
  <c r="B90" i="1" s="1"/>
  <c r="B94" i="1" s="1"/>
  <c r="B98" i="1" s="1"/>
  <c r="B102" i="1" s="1"/>
  <c r="B106" i="1" s="1"/>
  <c r="B110" i="1" s="1"/>
  <c r="B114" i="1" s="1"/>
  <c r="B118" i="1" s="1"/>
  <c r="B122" i="1" s="1"/>
  <c r="M82" i="1" l="1"/>
  <c r="L80" i="1"/>
  <c r="L85" i="1"/>
  <c r="M85" i="1" s="1"/>
  <c r="N8" i="1"/>
  <c r="N7" i="1"/>
  <c r="M84" i="1"/>
  <c r="N6" i="1"/>
  <c r="M83" i="1"/>
  <c r="C13" i="1"/>
  <c r="C10" i="1"/>
  <c r="C17" i="1"/>
  <c r="F9" i="1"/>
  <c r="G9" i="1" s="1"/>
  <c r="F8" i="1"/>
  <c r="F7" i="1"/>
  <c r="H116" i="1"/>
  <c r="I117" i="1" s="1"/>
  <c r="I118" i="1"/>
  <c r="H120" i="1"/>
  <c r="C12" i="1"/>
  <c r="C11" i="1"/>
  <c r="F13" i="1"/>
  <c r="F6" i="1"/>
  <c r="Q82" i="1" l="1"/>
  <c r="O10" i="1"/>
  <c r="N10" i="1"/>
  <c r="L86" i="1"/>
  <c r="M86" i="1" s="1"/>
  <c r="M81" i="1"/>
  <c r="L79" i="1"/>
  <c r="J11" i="1"/>
  <c r="O11" i="1"/>
  <c r="N11" i="1"/>
  <c r="O12" i="1"/>
  <c r="N12" i="1"/>
  <c r="F10" i="1"/>
  <c r="K10" i="1"/>
  <c r="J10" i="1"/>
  <c r="K12" i="1"/>
  <c r="J12" i="1"/>
  <c r="G10" i="1"/>
  <c r="K11" i="1"/>
  <c r="G13" i="1"/>
  <c r="F12" i="1"/>
  <c r="C21" i="1"/>
  <c r="F17" i="1"/>
  <c r="G17" i="1" s="1"/>
  <c r="C14" i="1"/>
  <c r="H121" i="1"/>
  <c r="I120" i="1"/>
  <c r="H115" i="1"/>
  <c r="I116" i="1" s="1"/>
  <c r="C15" i="1"/>
  <c r="G11" i="1"/>
  <c r="C16" i="1"/>
  <c r="G12" i="1"/>
  <c r="F11" i="1"/>
  <c r="L87" i="1" l="1"/>
  <c r="M87" i="1" s="1"/>
  <c r="J15" i="1"/>
  <c r="O15" i="1"/>
  <c r="N15" i="1"/>
  <c r="O14" i="1"/>
  <c r="N14" i="1"/>
  <c r="J16" i="1"/>
  <c r="O16" i="1"/>
  <c r="N16" i="1"/>
  <c r="M80" i="1"/>
  <c r="L78" i="1"/>
  <c r="K14" i="1"/>
  <c r="J14" i="1"/>
  <c r="K15" i="1"/>
  <c r="K16" i="1"/>
  <c r="C18" i="1"/>
  <c r="G14" i="1"/>
  <c r="F14" i="1"/>
  <c r="C25" i="1"/>
  <c r="F21" i="1"/>
  <c r="G21" i="1" s="1"/>
  <c r="H114" i="1"/>
  <c r="I115" i="1" s="1"/>
  <c r="H122" i="1"/>
  <c r="I121" i="1"/>
  <c r="Q118" i="1"/>
  <c r="C19" i="1"/>
  <c r="G15" i="1"/>
  <c r="F15" i="1"/>
  <c r="C20" i="1"/>
  <c r="G16" i="1"/>
  <c r="F16" i="1"/>
  <c r="L77" i="1" l="1"/>
  <c r="M79" i="1"/>
  <c r="J19" i="1"/>
  <c r="O19" i="1"/>
  <c r="N19" i="1"/>
  <c r="J20" i="1"/>
  <c r="O20" i="1"/>
  <c r="N20" i="1"/>
  <c r="O18" i="1"/>
  <c r="N18" i="1"/>
  <c r="L88" i="1"/>
  <c r="K18" i="1"/>
  <c r="J18" i="1"/>
  <c r="K19" i="1"/>
  <c r="K20" i="1"/>
  <c r="C29" i="1"/>
  <c r="F25" i="1"/>
  <c r="G25" i="1" s="1"/>
  <c r="C22" i="1"/>
  <c r="G18" i="1"/>
  <c r="F18" i="1"/>
  <c r="H123" i="1"/>
  <c r="I122" i="1"/>
  <c r="H113" i="1"/>
  <c r="I114" i="1" s="1"/>
  <c r="C24" i="1"/>
  <c r="G20" i="1"/>
  <c r="F20" i="1"/>
  <c r="C23" i="1"/>
  <c r="G19" i="1"/>
  <c r="F19" i="1"/>
  <c r="L89" i="1" l="1"/>
  <c r="L76" i="1"/>
  <c r="M78" i="1"/>
  <c r="J23" i="1"/>
  <c r="O23" i="1"/>
  <c r="N23" i="1"/>
  <c r="O22" i="1"/>
  <c r="N22" i="1"/>
  <c r="M88" i="1"/>
  <c r="J24" i="1"/>
  <c r="O24" i="1"/>
  <c r="N24" i="1"/>
  <c r="K22" i="1"/>
  <c r="J22" i="1"/>
  <c r="K23" i="1"/>
  <c r="K24" i="1"/>
  <c r="C26" i="1"/>
  <c r="F22" i="1"/>
  <c r="G22" i="1"/>
  <c r="C33" i="1"/>
  <c r="F29" i="1"/>
  <c r="G29" i="1" s="1"/>
  <c r="H112" i="1"/>
  <c r="H124" i="1"/>
  <c r="I124" i="1" s="1"/>
  <c r="I123" i="1"/>
  <c r="C27" i="1"/>
  <c r="G23" i="1"/>
  <c r="F23" i="1"/>
  <c r="C28" i="1"/>
  <c r="G24" i="1"/>
  <c r="F24" i="1"/>
  <c r="L75" i="1" l="1"/>
  <c r="M77" i="1"/>
  <c r="J28" i="1"/>
  <c r="O28" i="1"/>
  <c r="N28" i="1"/>
  <c r="L90" i="1"/>
  <c r="M90" i="1" s="1"/>
  <c r="J27" i="1"/>
  <c r="O27" i="1"/>
  <c r="N27" i="1"/>
  <c r="O26" i="1"/>
  <c r="N26" i="1"/>
  <c r="M89" i="1"/>
  <c r="K26" i="1"/>
  <c r="J26" i="1"/>
  <c r="K27" i="1"/>
  <c r="K28" i="1"/>
  <c r="C37" i="1"/>
  <c r="F33" i="1"/>
  <c r="G33" i="1" s="1"/>
  <c r="C30" i="1"/>
  <c r="G26" i="1"/>
  <c r="F26" i="1"/>
  <c r="H111" i="1"/>
  <c r="I112" i="1" s="1"/>
  <c r="I113" i="1"/>
  <c r="C32" i="1"/>
  <c r="G28" i="1"/>
  <c r="F28" i="1"/>
  <c r="C31" i="1"/>
  <c r="G27" i="1"/>
  <c r="F27" i="1"/>
  <c r="O30" i="1" l="1"/>
  <c r="N30" i="1"/>
  <c r="M76" i="1"/>
  <c r="L74" i="1"/>
  <c r="J32" i="1"/>
  <c r="O32" i="1"/>
  <c r="N32" i="1"/>
  <c r="J31" i="1"/>
  <c r="O31" i="1"/>
  <c r="N31" i="1"/>
  <c r="L91" i="1"/>
  <c r="K30" i="1"/>
  <c r="J30" i="1"/>
  <c r="K32" i="1"/>
  <c r="K31" i="1"/>
  <c r="C34" i="1"/>
  <c r="G30" i="1"/>
  <c r="F30" i="1"/>
  <c r="C41" i="1"/>
  <c r="F37" i="1"/>
  <c r="G37" i="1" s="1"/>
  <c r="H110" i="1"/>
  <c r="I111" i="1" s="1"/>
  <c r="C35" i="1"/>
  <c r="G31" i="1"/>
  <c r="F31" i="1"/>
  <c r="C36" i="1"/>
  <c r="G32" i="1"/>
  <c r="F32" i="1"/>
  <c r="M75" i="1" l="1"/>
  <c r="L73" i="1"/>
  <c r="L92" i="1"/>
  <c r="M92" i="1" s="1"/>
  <c r="M91" i="1"/>
  <c r="J36" i="1"/>
  <c r="O36" i="1"/>
  <c r="N36" i="1"/>
  <c r="O34" i="1"/>
  <c r="N34" i="1"/>
  <c r="J35" i="1"/>
  <c r="O35" i="1"/>
  <c r="N35" i="1"/>
  <c r="K34" i="1"/>
  <c r="J34" i="1"/>
  <c r="K36" i="1"/>
  <c r="K35" i="1"/>
  <c r="C45" i="1"/>
  <c r="F41" i="1"/>
  <c r="G41" i="1" s="1"/>
  <c r="C38" i="1"/>
  <c r="G34" i="1"/>
  <c r="F34" i="1"/>
  <c r="H109" i="1"/>
  <c r="I110" i="1" s="1"/>
  <c r="C40" i="1"/>
  <c r="G36" i="1"/>
  <c r="F36" i="1"/>
  <c r="C39" i="1"/>
  <c r="G35" i="1"/>
  <c r="F35" i="1"/>
  <c r="O38" i="1" l="1"/>
  <c r="N38" i="1"/>
  <c r="L93" i="1"/>
  <c r="M93" i="1" s="1"/>
  <c r="J40" i="1"/>
  <c r="O40" i="1"/>
  <c r="N40" i="1"/>
  <c r="M74" i="1"/>
  <c r="L72" i="1"/>
  <c r="J39" i="1"/>
  <c r="O39" i="1"/>
  <c r="N39" i="1"/>
  <c r="K38" i="1"/>
  <c r="J38" i="1"/>
  <c r="K39" i="1"/>
  <c r="K40" i="1"/>
  <c r="C42" i="1"/>
  <c r="F38" i="1"/>
  <c r="G38" i="1"/>
  <c r="C49" i="1"/>
  <c r="F45" i="1"/>
  <c r="G45" i="1" s="1"/>
  <c r="H108" i="1"/>
  <c r="I109" i="1" s="1"/>
  <c r="C43" i="1"/>
  <c r="G39" i="1"/>
  <c r="F39" i="1"/>
  <c r="C44" i="1"/>
  <c r="G40" i="1"/>
  <c r="F40" i="1"/>
  <c r="L94" i="1" l="1"/>
  <c r="M94" i="1" s="1"/>
  <c r="J44" i="1"/>
  <c r="O44" i="1"/>
  <c r="N44" i="1"/>
  <c r="O42" i="1"/>
  <c r="N42" i="1"/>
  <c r="J43" i="1"/>
  <c r="O43" i="1"/>
  <c r="N43" i="1"/>
  <c r="M73" i="1"/>
  <c r="L71" i="1"/>
  <c r="K42" i="1"/>
  <c r="J42" i="1"/>
  <c r="K43" i="1"/>
  <c r="K44" i="1"/>
  <c r="C46" i="1"/>
  <c r="F42" i="1"/>
  <c r="G42" i="1"/>
  <c r="C53" i="1"/>
  <c r="F49" i="1"/>
  <c r="G49" i="1" s="1"/>
  <c r="H107" i="1"/>
  <c r="I108" i="1" s="1"/>
  <c r="C48" i="1"/>
  <c r="G44" i="1"/>
  <c r="F44" i="1"/>
  <c r="C47" i="1"/>
  <c r="G43" i="1"/>
  <c r="F43" i="1"/>
  <c r="M72" i="1" l="1"/>
  <c r="L70" i="1"/>
  <c r="O46" i="1"/>
  <c r="N46" i="1"/>
  <c r="J47" i="1"/>
  <c r="O47" i="1"/>
  <c r="N47" i="1"/>
  <c r="J48" i="1"/>
  <c r="O48" i="1"/>
  <c r="N48" i="1"/>
  <c r="L95" i="1"/>
  <c r="M95" i="1" s="1"/>
  <c r="K46" i="1"/>
  <c r="J46" i="1"/>
  <c r="K47" i="1"/>
  <c r="K48" i="1"/>
  <c r="C57" i="1"/>
  <c r="F53" i="1"/>
  <c r="G53" i="1" s="1"/>
  <c r="C50" i="1"/>
  <c r="F46" i="1"/>
  <c r="G46" i="1"/>
  <c r="H106" i="1"/>
  <c r="I107" i="1" s="1"/>
  <c r="C51" i="1"/>
  <c r="G47" i="1"/>
  <c r="F47" i="1"/>
  <c r="C52" i="1"/>
  <c r="G48" i="1"/>
  <c r="F48" i="1"/>
  <c r="O50" i="1" l="1"/>
  <c r="N50" i="1"/>
  <c r="L96" i="1"/>
  <c r="M96" i="1" s="1"/>
  <c r="J52" i="1"/>
  <c r="O52" i="1"/>
  <c r="N52" i="1"/>
  <c r="L69" i="1"/>
  <c r="M71" i="1"/>
  <c r="J51" i="1"/>
  <c r="O51" i="1"/>
  <c r="N51" i="1"/>
  <c r="K50" i="1"/>
  <c r="J50" i="1"/>
  <c r="K51" i="1"/>
  <c r="K52" i="1"/>
  <c r="C54" i="1"/>
  <c r="G50" i="1"/>
  <c r="F50" i="1"/>
  <c r="C61" i="1"/>
  <c r="F57" i="1"/>
  <c r="G57" i="1" s="1"/>
  <c r="H105" i="1"/>
  <c r="I106" i="1" s="1"/>
  <c r="C56" i="1"/>
  <c r="G52" i="1"/>
  <c r="F52" i="1"/>
  <c r="C55" i="1"/>
  <c r="G51" i="1"/>
  <c r="F51" i="1"/>
  <c r="O54" i="1" l="1"/>
  <c r="N54" i="1"/>
  <c r="L97" i="1"/>
  <c r="M97" i="1" s="1"/>
  <c r="J55" i="1"/>
  <c r="O55" i="1"/>
  <c r="N55" i="1"/>
  <c r="L68" i="1"/>
  <c r="M70" i="1"/>
  <c r="J56" i="1"/>
  <c r="O56" i="1"/>
  <c r="N56" i="1"/>
  <c r="K54" i="1"/>
  <c r="J54" i="1"/>
  <c r="K56" i="1"/>
  <c r="K55" i="1"/>
  <c r="C65" i="1"/>
  <c r="F61" i="1"/>
  <c r="G61" i="1" s="1"/>
  <c r="C58" i="1"/>
  <c r="G54" i="1"/>
  <c r="F54" i="1"/>
  <c r="H104" i="1"/>
  <c r="I105" i="1" s="1"/>
  <c r="C59" i="1"/>
  <c r="G55" i="1"/>
  <c r="F55" i="1"/>
  <c r="C60" i="1"/>
  <c r="G56" i="1"/>
  <c r="F56" i="1"/>
  <c r="L98" i="1" l="1"/>
  <c r="O58" i="1"/>
  <c r="N58" i="1"/>
  <c r="J60" i="1"/>
  <c r="O60" i="1"/>
  <c r="N60" i="1"/>
  <c r="L67" i="1"/>
  <c r="M69" i="1"/>
  <c r="J59" i="1"/>
  <c r="O59" i="1"/>
  <c r="N59" i="1"/>
  <c r="K58" i="1"/>
  <c r="J58" i="1"/>
  <c r="K59" i="1"/>
  <c r="K60" i="1"/>
  <c r="C62" i="1"/>
  <c r="F58" i="1"/>
  <c r="G58" i="1"/>
  <c r="C69" i="1"/>
  <c r="F65" i="1"/>
  <c r="G65" i="1" s="1"/>
  <c r="H103" i="1"/>
  <c r="I104" i="1" s="1"/>
  <c r="C64" i="1"/>
  <c r="G60" i="1"/>
  <c r="F60" i="1"/>
  <c r="C63" i="1"/>
  <c r="G59" i="1"/>
  <c r="F59" i="1"/>
  <c r="O62" i="1" l="1"/>
  <c r="N62" i="1"/>
  <c r="M68" i="1"/>
  <c r="L66" i="1"/>
  <c r="L99" i="1"/>
  <c r="J63" i="1"/>
  <c r="O63" i="1"/>
  <c r="N63" i="1"/>
  <c r="J64" i="1"/>
  <c r="O64" i="1"/>
  <c r="N64" i="1"/>
  <c r="M98" i="1"/>
  <c r="K62" i="1"/>
  <c r="J62" i="1"/>
  <c r="K64" i="1"/>
  <c r="K63" i="1"/>
  <c r="C73" i="1"/>
  <c r="F69" i="1"/>
  <c r="G69" i="1" s="1"/>
  <c r="C66" i="1"/>
  <c r="G62" i="1"/>
  <c r="F62" i="1"/>
  <c r="H102" i="1"/>
  <c r="I103" i="1" s="1"/>
  <c r="C67" i="1"/>
  <c r="G63" i="1"/>
  <c r="F63" i="1"/>
  <c r="C68" i="1"/>
  <c r="G64" i="1"/>
  <c r="F64" i="1"/>
  <c r="L100" i="1" l="1"/>
  <c r="M100" i="1" s="1"/>
  <c r="M67" i="1"/>
  <c r="L65" i="1"/>
  <c r="M99" i="1"/>
  <c r="J67" i="1"/>
  <c r="O67" i="1"/>
  <c r="N67" i="1"/>
  <c r="N69" i="1"/>
  <c r="O66" i="1"/>
  <c r="N66" i="1"/>
  <c r="J68" i="1"/>
  <c r="O68" i="1"/>
  <c r="N68" i="1"/>
  <c r="N73" i="1"/>
  <c r="K66" i="1"/>
  <c r="J66" i="1"/>
  <c r="K67" i="1"/>
  <c r="K68" i="1"/>
  <c r="C70" i="1"/>
  <c r="F66" i="1"/>
  <c r="G66" i="1"/>
  <c r="C77" i="1"/>
  <c r="F73" i="1"/>
  <c r="G73" i="1" s="1"/>
  <c r="H101" i="1"/>
  <c r="I102" i="1" s="1"/>
  <c r="C72" i="1"/>
  <c r="G68" i="1"/>
  <c r="F68" i="1"/>
  <c r="C71" i="1"/>
  <c r="G67" i="1"/>
  <c r="F67" i="1"/>
  <c r="O73" i="1" l="1"/>
  <c r="M66" i="1"/>
  <c r="L64" i="1"/>
  <c r="N77" i="1"/>
  <c r="O77" i="1" s="1"/>
  <c r="J71" i="1"/>
  <c r="O71" i="1"/>
  <c r="N71" i="1"/>
  <c r="O70" i="1"/>
  <c r="N70" i="1"/>
  <c r="J72" i="1"/>
  <c r="O72" i="1"/>
  <c r="N72" i="1"/>
  <c r="L101" i="1"/>
  <c r="M101" i="1" s="1"/>
  <c r="K70" i="1"/>
  <c r="J70" i="1"/>
  <c r="K72" i="1"/>
  <c r="K71" i="1"/>
  <c r="C81" i="1"/>
  <c r="F77" i="1"/>
  <c r="G77" i="1"/>
  <c r="C74" i="1"/>
  <c r="G70" i="1"/>
  <c r="F70" i="1"/>
  <c r="H100" i="1"/>
  <c r="I101" i="1" s="1"/>
  <c r="C76" i="1"/>
  <c r="G72" i="1"/>
  <c r="F72" i="1"/>
  <c r="C75" i="1"/>
  <c r="G71" i="1"/>
  <c r="F71" i="1"/>
  <c r="O74" i="1" l="1"/>
  <c r="N74" i="1"/>
  <c r="L102" i="1"/>
  <c r="M102" i="1" s="1"/>
  <c r="J76" i="1"/>
  <c r="O76" i="1"/>
  <c r="N76" i="1"/>
  <c r="M65" i="1"/>
  <c r="L63" i="1"/>
  <c r="J75" i="1"/>
  <c r="O75" i="1"/>
  <c r="N75" i="1"/>
  <c r="N81" i="1"/>
  <c r="O81" i="1" s="1"/>
  <c r="K74" i="1"/>
  <c r="J74" i="1"/>
  <c r="K76" i="1"/>
  <c r="K75" i="1"/>
  <c r="C78" i="1"/>
  <c r="G74" i="1"/>
  <c r="F74" i="1"/>
  <c r="C85" i="1"/>
  <c r="F81" i="1"/>
  <c r="G81" i="1" s="1"/>
  <c r="H99" i="1"/>
  <c r="I100" i="1" s="1"/>
  <c r="C79" i="1"/>
  <c r="G75" i="1"/>
  <c r="F75" i="1"/>
  <c r="C80" i="1"/>
  <c r="G76" i="1"/>
  <c r="F76" i="1"/>
  <c r="N85" i="1" l="1"/>
  <c r="O85" i="1" s="1"/>
  <c r="J80" i="1"/>
  <c r="O80" i="1"/>
  <c r="N80" i="1"/>
  <c r="O78" i="1"/>
  <c r="N78" i="1"/>
  <c r="L103" i="1"/>
  <c r="J79" i="1"/>
  <c r="O79" i="1"/>
  <c r="N79" i="1"/>
  <c r="M64" i="1"/>
  <c r="L62" i="1"/>
  <c r="K78" i="1"/>
  <c r="J78" i="1"/>
  <c r="K79" i="1"/>
  <c r="K80" i="1"/>
  <c r="C89" i="1"/>
  <c r="F85" i="1"/>
  <c r="G85" i="1" s="1"/>
  <c r="C82" i="1"/>
  <c r="F78" i="1"/>
  <c r="G78" i="1"/>
  <c r="H98" i="1"/>
  <c r="C84" i="1"/>
  <c r="G80" i="1"/>
  <c r="F80" i="1"/>
  <c r="C83" i="1"/>
  <c r="G79" i="1"/>
  <c r="F79" i="1"/>
  <c r="L61" i="1" l="1"/>
  <c r="M63" i="1"/>
  <c r="N65" i="1"/>
  <c r="N89" i="1"/>
  <c r="O89" i="1" s="1"/>
  <c r="L104" i="1"/>
  <c r="O82" i="1"/>
  <c r="N82" i="1"/>
  <c r="J83" i="1"/>
  <c r="O83" i="1"/>
  <c r="N83" i="1"/>
  <c r="J84" i="1"/>
  <c r="O84" i="1"/>
  <c r="N84" i="1"/>
  <c r="M103" i="1"/>
  <c r="K82" i="1"/>
  <c r="J82" i="1"/>
  <c r="K84" i="1"/>
  <c r="K83" i="1"/>
  <c r="C86" i="1"/>
  <c r="F82" i="1"/>
  <c r="G82" i="1"/>
  <c r="C93" i="1"/>
  <c r="F89" i="1"/>
  <c r="G89" i="1" s="1"/>
  <c r="H97" i="1"/>
  <c r="I98" i="1"/>
  <c r="C87" i="1"/>
  <c r="G83" i="1"/>
  <c r="F83" i="1"/>
  <c r="C88" i="1"/>
  <c r="G84" i="1"/>
  <c r="F84" i="1"/>
  <c r="O69" i="1" l="1"/>
  <c r="O86" i="1"/>
  <c r="N86" i="1"/>
  <c r="J87" i="1"/>
  <c r="O87" i="1"/>
  <c r="N87" i="1"/>
  <c r="N93" i="1"/>
  <c r="O93" i="1" s="1"/>
  <c r="J88" i="1"/>
  <c r="O88" i="1"/>
  <c r="N88" i="1"/>
  <c r="L105" i="1"/>
  <c r="M105" i="1" s="1"/>
  <c r="M104" i="1"/>
  <c r="L60" i="1"/>
  <c r="M62" i="1"/>
  <c r="K86" i="1"/>
  <c r="J86" i="1"/>
  <c r="K87" i="1"/>
  <c r="K88" i="1"/>
  <c r="C97" i="1"/>
  <c r="F93" i="1"/>
  <c r="G93" i="1" s="1"/>
  <c r="C90" i="1"/>
  <c r="G86" i="1"/>
  <c r="F86" i="1"/>
  <c r="H96" i="1"/>
  <c r="I97" i="1" s="1"/>
  <c r="C92" i="1"/>
  <c r="G88" i="1"/>
  <c r="F88" i="1"/>
  <c r="C91" i="1"/>
  <c r="G87" i="1"/>
  <c r="F87" i="1"/>
  <c r="O90" i="1" l="1"/>
  <c r="N90" i="1"/>
  <c r="L59" i="1"/>
  <c r="M61" i="1"/>
  <c r="N97" i="1"/>
  <c r="O97" i="1" s="1"/>
  <c r="J92" i="1"/>
  <c r="O92" i="1"/>
  <c r="N92" i="1"/>
  <c r="J91" i="1"/>
  <c r="O91" i="1"/>
  <c r="N91" i="1"/>
  <c r="L106" i="1"/>
  <c r="K90" i="1"/>
  <c r="J90" i="1"/>
  <c r="K92" i="1"/>
  <c r="K91" i="1"/>
  <c r="C94" i="1"/>
  <c r="G90" i="1"/>
  <c r="F90" i="1"/>
  <c r="C101" i="1"/>
  <c r="F97" i="1"/>
  <c r="G97" i="1" s="1"/>
  <c r="H95" i="1"/>
  <c r="I96" i="1" s="1"/>
  <c r="C95" i="1"/>
  <c r="G91" i="1"/>
  <c r="F91" i="1"/>
  <c r="C96" i="1"/>
  <c r="G92" i="1"/>
  <c r="F92" i="1"/>
  <c r="M60" i="1" l="1"/>
  <c r="L58" i="1"/>
  <c r="J101" i="1"/>
  <c r="N101" i="1"/>
  <c r="O101" i="1" s="1"/>
  <c r="J96" i="1"/>
  <c r="O96" i="1"/>
  <c r="N96" i="1"/>
  <c r="O94" i="1"/>
  <c r="N94" i="1"/>
  <c r="L107" i="1"/>
  <c r="M106" i="1"/>
  <c r="J95" i="1"/>
  <c r="O95" i="1"/>
  <c r="N95" i="1"/>
  <c r="K94" i="1"/>
  <c r="J94" i="1"/>
  <c r="K96" i="1"/>
  <c r="K95" i="1"/>
  <c r="C105" i="1"/>
  <c r="K101" i="1"/>
  <c r="F101" i="1"/>
  <c r="G101" i="1" s="1"/>
  <c r="C98" i="1"/>
  <c r="G94" i="1"/>
  <c r="F94" i="1"/>
  <c r="H94" i="1"/>
  <c r="J97" i="1" s="1"/>
  <c r="C100" i="1"/>
  <c r="G96" i="1"/>
  <c r="F96" i="1"/>
  <c r="C99" i="1"/>
  <c r="G95" i="1"/>
  <c r="F95" i="1"/>
  <c r="J99" i="1" l="1"/>
  <c r="O99" i="1"/>
  <c r="N99" i="1"/>
  <c r="L108" i="1"/>
  <c r="M108" i="1" s="1"/>
  <c r="M59" i="1"/>
  <c r="L57" i="1"/>
  <c r="N61" i="1"/>
  <c r="O98" i="1"/>
  <c r="N98" i="1"/>
  <c r="J105" i="1"/>
  <c r="N105" i="1"/>
  <c r="O105" i="1" s="1"/>
  <c r="J100" i="1"/>
  <c r="O100" i="1"/>
  <c r="N100" i="1"/>
  <c r="M107" i="1"/>
  <c r="K98" i="1"/>
  <c r="J98" i="1"/>
  <c r="K100" i="1"/>
  <c r="K99" i="1"/>
  <c r="I95" i="1"/>
  <c r="C102" i="1"/>
  <c r="G98" i="1"/>
  <c r="F98" i="1"/>
  <c r="C109" i="1"/>
  <c r="K105" i="1"/>
  <c r="F105" i="1"/>
  <c r="G105" i="1" s="1"/>
  <c r="H93" i="1"/>
  <c r="I94" i="1" s="1"/>
  <c r="C103" i="1"/>
  <c r="G99" i="1"/>
  <c r="F99" i="1"/>
  <c r="C104" i="1"/>
  <c r="G100" i="1"/>
  <c r="F100" i="1"/>
  <c r="M58" i="1" l="1"/>
  <c r="L56" i="1"/>
  <c r="L109" i="1"/>
  <c r="M109" i="1" s="1"/>
  <c r="O65" i="1"/>
  <c r="O102" i="1"/>
  <c r="N102" i="1"/>
  <c r="J103" i="1"/>
  <c r="O103" i="1"/>
  <c r="N103" i="1"/>
  <c r="J109" i="1"/>
  <c r="J104" i="1"/>
  <c r="O104" i="1"/>
  <c r="N104" i="1"/>
  <c r="K102" i="1"/>
  <c r="J102" i="1"/>
  <c r="K103" i="1"/>
  <c r="K104" i="1"/>
  <c r="C113" i="1"/>
  <c r="K109" i="1"/>
  <c r="F109" i="1"/>
  <c r="G109" i="1" s="1"/>
  <c r="C106" i="1"/>
  <c r="F102" i="1"/>
  <c r="G102" i="1"/>
  <c r="H92" i="1"/>
  <c r="I93" i="1" s="1"/>
  <c r="C108" i="1"/>
  <c r="G104" i="1"/>
  <c r="F104" i="1"/>
  <c r="C107" i="1"/>
  <c r="G103" i="1"/>
  <c r="F103" i="1"/>
  <c r="N109" i="1" l="1"/>
  <c r="O109" i="1" s="1"/>
  <c r="J107" i="1"/>
  <c r="O107" i="1"/>
  <c r="N107" i="1"/>
  <c r="L110" i="1"/>
  <c r="M110" i="1" s="1"/>
  <c r="J108" i="1"/>
  <c r="O108" i="1"/>
  <c r="N108" i="1"/>
  <c r="M57" i="1"/>
  <c r="L55" i="1"/>
  <c r="J113" i="1"/>
  <c r="O106" i="1"/>
  <c r="N106" i="1"/>
  <c r="K106" i="1"/>
  <c r="J106" i="1"/>
  <c r="K108" i="1"/>
  <c r="K107" i="1"/>
  <c r="C110" i="1"/>
  <c r="G106" i="1"/>
  <c r="F106" i="1"/>
  <c r="C117" i="1"/>
  <c r="K113" i="1"/>
  <c r="F113" i="1"/>
  <c r="G113" i="1" s="1"/>
  <c r="H91" i="1"/>
  <c r="I92" i="1" s="1"/>
  <c r="C111" i="1"/>
  <c r="G107" i="1"/>
  <c r="F107" i="1"/>
  <c r="C112" i="1"/>
  <c r="G108" i="1"/>
  <c r="F108" i="1"/>
  <c r="L111" i="1" l="1"/>
  <c r="M111" i="1" s="1"/>
  <c r="J117" i="1"/>
  <c r="K117" i="1" s="1"/>
  <c r="O110" i="1"/>
  <c r="N110" i="1"/>
  <c r="J111" i="1"/>
  <c r="O111" i="1"/>
  <c r="N111" i="1"/>
  <c r="M56" i="1"/>
  <c r="L54" i="1"/>
  <c r="J112" i="1"/>
  <c r="O112" i="1"/>
  <c r="N112" i="1"/>
  <c r="K110" i="1"/>
  <c r="J110" i="1"/>
  <c r="K112" i="1"/>
  <c r="K111" i="1"/>
  <c r="C121" i="1"/>
  <c r="F117" i="1"/>
  <c r="C114" i="1"/>
  <c r="F110" i="1"/>
  <c r="G110" i="1"/>
  <c r="H90" i="1"/>
  <c r="J93" i="1" s="1"/>
  <c r="C116" i="1"/>
  <c r="G112" i="1"/>
  <c r="F112" i="1"/>
  <c r="C115" i="1"/>
  <c r="G111" i="1"/>
  <c r="F111" i="1"/>
  <c r="J115" i="1" l="1"/>
  <c r="O115" i="1"/>
  <c r="N115" i="1"/>
  <c r="L53" i="1"/>
  <c r="M55" i="1"/>
  <c r="N57" i="1"/>
  <c r="J116" i="1"/>
  <c r="O116" i="1"/>
  <c r="N116" i="1"/>
  <c r="O114" i="1"/>
  <c r="N114" i="1"/>
  <c r="J121" i="1"/>
  <c r="L112" i="1"/>
  <c r="K114" i="1"/>
  <c r="J114" i="1"/>
  <c r="K97" i="1"/>
  <c r="K116" i="1"/>
  <c r="K115" i="1"/>
  <c r="I91" i="1"/>
  <c r="C118" i="1"/>
  <c r="G114" i="1"/>
  <c r="F114" i="1"/>
  <c r="G117" i="1"/>
  <c r="F121" i="1"/>
  <c r="G121" i="1" s="1"/>
  <c r="K121" i="1"/>
  <c r="H89" i="1"/>
  <c r="I90" i="1" s="1"/>
  <c r="C119" i="1"/>
  <c r="G115" i="1"/>
  <c r="F115" i="1"/>
  <c r="C120" i="1"/>
  <c r="G116" i="1"/>
  <c r="F116" i="1"/>
  <c r="O61" i="1" l="1"/>
  <c r="O118" i="1"/>
  <c r="N118" i="1"/>
  <c r="L52" i="1"/>
  <c r="M54" i="1"/>
  <c r="J119" i="1"/>
  <c r="O119" i="1"/>
  <c r="N119" i="1"/>
  <c r="L113" i="1"/>
  <c r="N113" i="1" s="1"/>
  <c r="O113" i="1" s="1"/>
  <c r="M112" i="1"/>
  <c r="J120" i="1"/>
  <c r="O120" i="1"/>
  <c r="N120" i="1"/>
  <c r="K118" i="1"/>
  <c r="J118" i="1"/>
  <c r="K120" i="1"/>
  <c r="K119" i="1"/>
  <c r="C122" i="1"/>
  <c r="F118" i="1"/>
  <c r="G118" i="1"/>
  <c r="H88" i="1"/>
  <c r="I89" i="1" s="1"/>
  <c r="C124" i="1"/>
  <c r="G120" i="1"/>
  <c r="F120" i="1"/>
  <c r="C123" i="1"/>
  <c r="G119" i="1"/>
  <c r="F119" i="1"/>
  <c r="L51" i="1" l="1"/>
  <c r="M53" i="1"/>
  <c r="O122" i="1"/>
  <c r="N122" i="1"/>
  <c r="J123" i="1"/>
  <c r="O123" i="1"/>
  <c r="N123" i="1"/>
  <c r="L114" i="1"/>
  <c r="M114" i="1" s="1"/>
  <c r="M113" i="1"/>
  <c r="J124" i="1"/>
  <c r="O124" i="1"/>
  <c r="N124" i="1"/>
  <c r="K122" i="1"/>
  <c r="J122" i="1"/>
  <c r="K123" i="1"/>
  <c r="K124" i="1"/>
  <c r="F122" i="1"/>
  <c r="G122" i="1"/>
  <c r="H87" i="1"/>
  <c r="I88" i="1" s="1"/>
  <c r="F123" i="1"/>
  <c r="G123" i="1"/>
  <c r="F124" i="1"/>
  <c r="G124" i="1"/>
  <c r="L115" i="1" l="1"/>
  <c r="M52" i="1"/>
  <c r="L50" i="1"/>
  <c r="H86" i="1"/>
  <c r="J89" i="1" s="1"/>
  <c r="M51" i="1" l="1"/>
  <c r="L49" i="1"/>
  <c r="N53" i="1"/>
  <c r="L116" i="1"/>
  <c r="M116" i="1" s="1"/>
  <c r="M115" i="1"/>
  <c r="I87" i="1"/>
  <c r="K93" i="1"/>
  <c r="H85" i="1"/>
  <c r="I86" i="1" s="1"/>
  <c r="L117" i="1" l="1"/>
  <c r="M117" i="1"/>
  <c r="M50" i="1"/>
  <c r="L48" i="1"/>
  <c r="O57" i="1"/>
  <c r="H84" i="1"/>
  <c r="I85" i="1" s="1"/>
  <c r="M49" i="1" l="1"/>
  <c r="L47" i="1"/>
  <c r="L118" i="1"/>
  <c r="M118" i="1" s="1"/>
  <c r="N117" i="1"/>
  <c r="O117" i="1" s="1"/>
  <c r="H83" i="1"/>
  <c r="I84" i="1" s="1"/>
  <c r="M48" i="1" l="1"/>
  <c r="L46" i="1"/>
  <c r="L119" i="1"/>
  <c r="M119" i="1" s="1"/>
  <c r="H82" i="1"/>
  <c r="J85" i="1" s="1"/>
  <c r="I83" i="1"/>
  <c r="L45" i="1" l="1"/>
  <c r="M47" i="1"/>
  <c r="N49" i="1"/>
  <c r="L120" i="1"/>
  <c r="K89" i="1"/>
  <c r="H81" i="1"/>
  <c r="I82" i="1" s="1"/>
  <c r="O53" i="1" l="1"/>
  <c r="L121" i="1"/>
  <c r="N121" i="1" s="1"/>
  <c r="O121" i="1" s="1"/>
  <c r="M120" i="1"/>
  <c r="L44" i="1"/>
  <c r="M46" i="1"/>
  <c r="H80" i="1"/>
  <c r="I81" i="1"/>
  <c r="L43" i="1" l="1"/>
  <c r="M45" i="1"/>
  <c r="L122" i="1"/>
  <c r="M121" i="1"/>
  <c r="H79" i="1"/>
  <c r="I80" i="1" s="1"/>
  <c r="L123" i="1" l="1"/>
  <c r="M122" i="1"/>
  <c r="M44" i="1"/>
  <c r="L42" i="1"/>
  <c r="H78" i="1"/>
  <c r="J81" i="1" s="1"/>
  <c r="I79" i="1"/>
  <c r="L124" i="1" l="1"/>
  <c r="M124" i="1" s="1"/>
  <c r="M43" i="1"/>
  <c r="L41" i="1"/>
  <c r="N45" i="1"/>
  <c r="M123" i="1"/>
  <c r="K85" i="1"/>
  <c r="H77" i="1"/>
  <c r="I78" i="1" s="1"/>
  <c r="O49" i="1" l="1"/>
  <c r="M42" i="1"/>
  <c r="L40" i="1"/>
  <c r="H76" i="1"/>
  <c r="I77" i="1"/>
  <c r="M41" i="1" l="1"/>
  <c r="L39" i="1"/>
  <c r="H75" i="1"/>
  <c r="I76" i="1" s="1"/>
  <c r="M40" i="1" l="1"/>
  <c r="L38" i="1"/>
  <c r="H74" i="1"/>
  <c r="J77" i="1" s="1"/>
  <c r="I75" i="1"/>
  <c r="L37" i="1" l="1"/>
  <c r="M39" i="1"/>
  <c r="N41" i="1"/>
  <c r="K81" i="1"/>
  <c r="H73" i="1"/>
  <c r="I74" i="1" s="1"/>
  <c r="O45" i="1" l="1"/>
  <c r="L36" i="1"/>
  <c r="M38" i="1"/>
  <c r="H72" i="1"/>
  <c r="I73" i="1" s="1"/>
  <c r="L35" i="1" l="1"/>
  <c r="M37" i="1"/>
  <c r="H71" i="1"/>
  <c r="I72" i="1" s="1"/>
  <c r="M36" i="1" l="1"/>
  <c r="L34" i="1"/>
  <c r="H70" i="1"/>
  <c r="J73" i="1" s="1"/>
  <c r="M35" i="1" l="1"/>
  <c r="L33" i="1"/>
  <c r="N37" i="1"/>
  <c r="K77" i="1"/>
  <c r="I71" i="1"/>
  <c r="H69" i="1"/>
  <c r="I70" i="1" s="1"/>
  <c r="M34" i="1" l="1"/>
  <c r="L32" i="1"/>
  <c r="O41" i="1"/>
  <c r="H68" i="1"/>
  <c r="I69" i="1" s="1"/>
  <c r="M33" i="1" l="1"/>
  <c r="L31" i="1"/>
  <c r="H67" i="1"/>
  <c r="I68" i="1" s="1"/>
  <c r="M32" i="1" l="1"/>
  <c r="L30" i="1"/>
  <c r="H66" i="1"/>
  <c r="J69" i="1" s="1"/>
  <c r="I67" i="1"/>
  <c r="L29" i="1" l="1"/>
  <c r="M31" i="1"/>
  <c r="N33" i="1"/>
  <c r="K73" i="1"/>
  <c r="H65" i="1"/>
  <c r="I66" i="1" s="1"/>
  <c r="O37" i="1" l="1"/>
  <c r="L28" i="1"/>
  <c r="M30" i="1"/>
  <c r="H64" i="1"/>
  <c r="I65" i="1" s="1"/>
  <c r="L27" i="1" l="1"/>
  <c r="M29" i="1"/>
  <c r="H63" i="1"/>
  <c r="I64" i="1" s="1"/>
  <c r="M28" i="1" l="1"/>
  <c r="L26" i="1"/>
  <c r="H62" i="1"/>
  <c r="J65" i="1" s="1"/>
  <c r="I63" i="1" l="1"/>
  <c r="M27" i="1"/>
  <c r="L25" i="1"/>
  <c r="N29" i="1"/>
  <c r="K69" i="1"/>
  <c r="H61" i="1"/>
  <c r="I62" i="1" s="1"/>
  <c r="M26" i="1" l="1"/>
  <c r="L24" i="1"/>
  <c r="O33" i="1"/>
  <c r="H60" i="1"/>
  <c r="I61" i="1" s="1"/>
  <c r="M25" i="1" l="1"/>
  <c r="L23" i="1"/>
  <c r="H59" i="1"/>
  <c r="I60" i="1" s="1"/>
  <c r="M24" i="1" l="1"/>
  <c r="L22" i="1"/>
  <c r="H58" i="1"/>
  <c r="J61" i="1" s="1"/>
  <c r="I59" i="1" l="1"/>
  <c r="L21" i="1"/>
  <c r="M23" i="1"/>
  <c r="N25" i="1"/>
  <c r="K65" i="1"/>
  <c r="H57" i="1"/>
  <c r="I58" i="1" s="1"/>
  <c r="L20" i="1" l="1"/>
  <c r="M22" i="1"/>
  <c r="O29" i="1"/>
  <c r="H56" i="1"/>
  <c r="I57" i="1"/>
  <c r="L19" i="1" l="1"/>
  <c r="M21" i="1"/>
  <c r="H55" i="1"/>
  <c r="I56" i="1" s="1"/>
  <c r="M20" i="1" l="1"/>
  <c r="L18" i="1"/>
  <c r="H54" i="1"/>
  <c r="J57" i="1" s="1"/>
  <c r="I55" i="1"/>
  <c r="M19" i="1" l="1"/>
  <c r="L17" i="1"/>
  <c r="N21" i="1"/>
  <c r="K61" i="1"/>
  <c r="H53" i="1"/>
  <c r="I54" i="1" s="1"/>
  <c r="M18" i="1" l="1"/>
  <c r="L16" i="1"/>
  <c r="O25" i="1"/>
  <c r="H52" i="1"/>
  <c r="I53" i="1" s="1"/>
  <c r="M17" i="1" l="1"/>
  <c r="L15" i="1"/>
  <c r="H51" i="1"/>
  <c r="I52" i="1"/>
  <c r="M16" i="1" l="1"/>
  <c r="L14" i="1"/>
  <c r="H50" i="1"/>
  <c r="J53" i="1" s="1"/>
  <c r="I51" i="1"/>
  <c r="L13" i="1" l="1"/>
  <c r="M15" i="1"/>
  <c r="N17" i="1"/>
  <c r="K57" i="1"/>
  <c r="H49" i="1"/>
  <c r="I50" i="1" s="1"/>
  <c r="O21" i="1" l="1"/>
  <c r="L12" i="1"/>
  <c r="M14" i="1"/>
  <c r="H48" i="1"/>
  <c r="I49" i="1" s="1"/>
  <c r="L11" i="1" l="1"/>
  <c r="M13" i="1"/>
  <c r="H47" i="1"/>
  <c r="I48" i="1"/>
  <c r="M12" i="1" l="1"/>
  <c r="L10" i="1"/>
  <c r="H46" i="1"/>
  <c r="J49" i="1" s="1"/>
  <c r="I47" i="1"/>
  <c r="M11" i="1" l="1"/>
  <c r="L9" i="1"/>
  <c r="N13" i="1"/>
  <c r="K53" i="1"/>
  <c r="H45" i="1"/>
  <c r="I46" i="1" s="1"/>
  <c r="M10" i="1" l="1"/>
  <c r="L8" i="1"/>
  <c r="O17" i="1"/>
  <c r="H44" i="1"/>
  <c r="I45" i="1" s="1"/>
  <c r="M9" i="1" l="1"/>
  <c r="L7" i="1"/>
  <c r="H43" i="1"/>
  <c r="I44" i="1"/>
  <c r="M8" i="1" l="1"/>
  <c r="L6" i="1"/>
  <c r="H42" i="1"/>
  <c r="J45" i="1" s="1"/>
  <c r="I43" i="1"/>
  <c r="L5" i="1" l="1"/>
  <c r="M7" i="1"/>
  <c r="N9" i="1"/>
  <c r="K49" i="1"/>
  <c r="H41" i="1"/>
  <c r="I42" i="1" s="1"/>
  <c r="O13" i="1" l="1"/>
  <c r="L4" i="1"/>
  <c r="M6" i="1"/>
  <c r="H40" i="1"/>
  <c r="I41" i="1"/>
  <c r="L3" i="1" l="1"/>
  <c r="M5" i="1"/>
  <c r="H39" i="1"/>
  <c r="I40" i="1"/>
  <c r="M4" i="1" l="1"/>
  <c r="L2" i="1"/>
  <c r="H38" i="1"/>
  <c r="J41" i="1" s="1"/>
  <c r="I39" i="1"/>
  <c r="N5" i="1" l="1"/>
  <c r="O9" i="1" s="1"/>
  <c r="M3" i="1"/>
  <c r="K45" i="1"/>
  <c r="H37" i="1"/>
  <c r="I38" i="1" s="1"/>
  <c r="H36" i="1" l="1"/>
  <c r="I37" i="1"/>
  <c r="H35" i="1" l="1"/>
  <c r="I36" i="1"/>
  <c r="H34" i="1" l="1"/>
  <c r="J37" i="1" s="1"/>
  <c r="I35" i="1"/>
  <c r="K41" i="1" l="1"/>
  <c r="H33" i="1"/>
  <c r="I34" i="1" s="1"/>
  <c r="H32" i="1" l="1"/>
  <c r="I33" i="1"/>
  <c r="H31" i="1" l="1"/>
  <c r="I32" i="1" s="1"/>
  <c r="H30" i="1" l="1"/>
  <c r="J33" i="1" s="1"/>
  <c r="I31" i="1"/>
  <c r="K37" i="1" l="1"/>
  <c r="H29" i="1"/>
  <c r="I30" i="1" s="1"/>
  <c r="H28" i="1" l="1"/>
  <c r="I29" i="1"/>
  <c r="H27" i="1" l="1"/>
  <c r="I28" i="1"/>
  <c r="H26" i="1" l="1"/>
  <c r="J29" i="1" s="1"/>
  <c r="I27" i="1"/>
  <c r="K33" i="1" l="1"/>
  <c r="H25" i="1"/>
  <c r="I26" i="1" s="1"/>
  <c r="H24" i="1" l="1"/>
  <c r="I25" i="1"/>
  <c r="H23" i="1" l="1"/>
  <c r="I24" i="1"/>
  <c r="H22" i="1" l="1"/>
  <c r="J25" i="1" s="1"/>
  <c r="K29" i="1" l="1"/>
  <c r="I23" i="1"/>
  <c r="H21" i="1"/>
  <c r="I22" i="1" s="1"/>
  <c r="H20" i="1" l="1"/>
  <c r="I21" i="1"/>
  <c r="H19" i="1" l="1"/>
  <c r="I20" i="1"/>
  <c r="H18" i="1" l="1"/>
  <c r="J21" i="1" s="1"/>
  <c r="I19" i="1"/>
  <c r="K25" i="1" l="1"/>
  <c r="H17" i="1"/>
  <c r="I18" i="1" s="1"/>
  <c r="H16" i="1" l="1"/>
  <c r="I17" i="1"/>
  <c r="H15" i="1" l="1"/>
  <c r="I16" i="1"/>
  <c r="H14" i="1" l="1"/>
  <c r="J17" i="1" s="1"/>
  <c r="I15" i="1" l="1"/>
  <c r="K21" i="1"/>
  <c r="H13" i="1"/>
  <c r="I14" i="1" s="1"/>
  <c r="H12" i="1" l="1"/>
  <c r="I13" i="1"/>
  <c r="H11" i="1" l="1"/>
  <c r="I12" i="1" s="1"/>
  <c r="H10" i="1" l="1"/>
  <c r="J13" i="1" s="1"/>
  <c r="I11" i="1" l="1"/>
  <c r="K17" i="1"/>
  <c r="H9" i="1"/>
  <c r="I10" i="1" s="1"/>
  <c r="H8" i="1" l="1"/>
  <c r="I9" i="1"/>
  <c r="H7" i="1" l="1"/>
  <c r="I8" i="1"/>
  <c r="H6" i="1" l="1"/>
  <c r="J9" i="1" s="1"/>
  <c r="I7" i="1"/>
  <c r="K13" i="1" l="1"/>
  <c r="H5" i="1"/>
  <c r="I6" i="1" s="1"/>
  <c r="H4" i="1" l="1"/>
  <c r="I5" i="1" s="1"/>
  <c r="H3" i="1" l="1"/>
  <c r="I4" i="1"/>
  <c r="H2" i="1" l="1"/>
  <c r="J5" i="1" s="1"/>
  <c r="K9" i="1" s="1"/>
  <c r="I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B5B49B-86AE-A64B-A199-CA1E713BFB8C}" keepAlive="1" name="Query - NANA" description="Connection to the 'NANA' query in the workbook." type="5" refreshedVersion="8" background="1" saveData="1">
    <dbPr connection="Provider=Microsoft.Mashup.OleDb.1;Data Source=$Workbook$;Location=NANA;Extended Properties=&quot;&quot;" command="SELECT * FROM [NANA]"/>
  </connection>
  <connection id="2" xr16:uid="{D8180739-2D17-C149-9111-49C709CC1598}" keepAlive="1" name="Query - NANQ" description="Connection to the 'NANQ' query in the workbook." type="5" refreshedVersion="8" background="1" saveData="1">
    <dbPr connection="Provider=Microsoft.Mashup.OleDb.1;Data Source=$Workbook$;Location=NANQ;Extended Properties=&quot;&quot;" command="SELECT * FROM [NANQ]"/>
  </connection>
</connections>
</file>

<file path=xl/sharedStrings.xml><?xml version="1.0" encoding="utf-8"?>
<sst xmlns="http://schemas.openxmlformats.org/spreadsheetml/2006/main" count="269" uniqueCount="142">
  <si>
    <t>TIME</t>
  </si>
  <si>
    <t>Poland</t>
  </si>
  <si>
    <t>: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</si>
  <si>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</si>
  <si>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</si>
  <si>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</si>
  <si>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</si>
  <si>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</si>
  <si>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</si>
  <si>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</si>
  <si>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</si>
  <si>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</si>
  <si>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</si>
  <si>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</si>
  <si>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</si>
  <si>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</si>
  <si>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</si>
  <si>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</si>
  <si>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</si>
  <si>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</si>
  <si>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</si>
  <si>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</si>
  <si>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</si>
  <si>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</si>
  <si>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</si>
  <si>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</si>
  <si>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</si>
  <si>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</si>
  <si>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</si>
  <si>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</si>
  <si>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</si>
  <si>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</si>
  <si>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</si>
  <si>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</si>
  <si>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</si>
  <si>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</si>
  <si>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</si>
  <si>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</si>
  <si>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</si>
  <si>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</si>
  <si>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</si>
  <si>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</si>
  <si>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</si>
  <si>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</si>
  <si>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</si>
  <si>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</si>
  <si>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</si>
  <si>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</si>
  <si>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</si>
  <si>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</si>
  <si>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</si>
  <si>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</si>
  <si>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</si>
  <si>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</si>
  <si>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</si>
  <si>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</si>
  <si>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</si>
  <si>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</si>
  <si>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</si>
  <si>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</si>
  <si>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</si>
  <si>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</si>
  <si>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</si>
  <si>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</si>
  <si>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</si>
  <si>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</si>
  <si>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</si>
  <si>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</si>
  <si>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</si>
  <si>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</si>
  <si>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</si>
  <si>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</si>
  <si>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</si>
  <si>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</si>
  <si>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</si>
  <si>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</si>
  <si>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</si>
  <si>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</si>
  <si>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</si>
  <si>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</si>
  <si>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</si>
  <si>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</si>
  <si>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</si>
  <si>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</si>
  <si>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</si>
  <si>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</si>
  <si>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</si>
  <si>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</si>
  <si>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</si>
  <si>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</si>
  <si>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</si>
  <si>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</si>
  <si>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</si>
  <si>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</si>
  <si>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</si>
  <si>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</si>
  <si>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</si>
  <si>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</si>
  <si>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</si>
  <si>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</si>
  <si>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</si>
  <si>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</si>
  <si>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</si>
  <si>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</si>
  <si>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</si>
  <si>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</si>
  <si>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</si>
  <si>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</si>
  <si>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</si>
  <si>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</si>
  <si>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</si>
  <si>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</si>
  <si>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</si>
  <si>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</si>
  <si>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</si>
  <si>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</si>
  <si>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</si>
  <si>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</si>
  <si>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</si>
  <si>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</si>
  <si>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</si>
  <si>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</si>
  <si>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</si>
  <si>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</si>
  <si>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</si>
  <si>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</si>
  <si>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YEAR</t>
  </si>
  <si>
    <t>QUARTER</t>
  </si>
  <si>
    <t>Q_CHAIN_INDEX</t>
  </si>
  <si>
    <t>A_CHAIN_INDEX</t>
  </si>
  <si>
    <t>Q_GVA_2020</t>
  </si>
  <si>
    <t>A_GVA_2020</t>
  </si>
  <si>
    <t>Q_REAL_GVA_2020_2024</t>
  </si>
  <si>
    <t>Difference between GVA2020 and RGVA2024</t>
  </si>
  <si>
    <t>A_REAL_GVA_2020_2024</t>
  </si>
  <si>
    <t>Q_REAL_CHAIN_INDEX_2020_2024</t>
  </si>
  <si>
    <t>A_REAL_CHAIN_INDEX_2020_2024</t>
  </si>
  <si>
    <t>Difference between GVA2020 and RGVA2015</t>
  </si>
  <si>
    <t>Q_REAL_GVA_2020_2015</t>
  </si>
  <si>
    <t>Q_REAL_CHAIN_INDEX_2020_2015</t>
  </si>
  <si>
    <t>A_REAL_GVA_2020_2015</t>
  </si>
  <si>
    <t>A_REAL_CHAIN_INDEX_2020_2015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</si>
</sst>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PLN&quot;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18">
    <dxf>
      <numFmt numFmtId="164" formatCode="#,##0.00\ &quot;PLN&quot;"/>
    </dxf>
    <dxf>
      <numFmt numFmtId="2" formatCode="0.00"/>
    </dxf>
    <dxf>
      <numFmt numFmtId="2" formatCode="0.00"/>
    </dxf>
    <dxf>
      <numFmt numFmtId="164" formatCode="#,##0.00\ &quot;PLN&quot;"/>
    </dxf>
    <dxf>
      <numFmt numFmtId="2" formatCode="0.00"/>
    </dxf>
    <dxf>
      <numFmt numFmtId="164" formatCode="#,##0.00\ &quot;PLN&quot;"/>
    </dxf>
    <dxf>
      <numFmt numFmtId="164" formatCode="#,##0.00\ &quot;PLN&quot;"/>
    </dxf>
    <dxf>
      <numFmt numFmtId="0" formatCode="General"/>
    </dxf>
    <dxf>
      <numFmt numFmtId="164" formatCode="#,##0.00\ &quot;PLN&quot;"/>
    </dxf>
    <dxf>
      <numFmt numFmtId="2" formatCode="0.00"/>
    </dxf>
    <dxf>
      <numFmt numFmtId="164" formatCode="#,##0.00\ &quot;PLN&quot;"/>
    </dxf>
    <dxf>
      <numFmt numFmtId="2" formatCode="0.00"/>
    </dxf>
    <dxf>
      <numFmt numFmtId="164" formatCode="#,##0.00\ &quot;PLN&quot;"/>
    </dxf>
    <dxf>
      <numFmt numFmtId="2" formatCode="0.00"/>
    </dxf>
    <dxf>
      <numFmt numFmtId="164" formatCode="#,##0.00\ &quot;PLN&quot;"/>
    </dxf>
    <dxf>
      <numFmt numFmtId="1" formatCode="0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5782863-6817-754D-B173-E8426A8D85DA}" autoFormatId="16" applyNumberFormats="0" applyBorderFormats="0" applyFontFormats="0" applyPatternFormats="0" applyAlignmentFormats="0" applyWidthHeightFormats="0">
  <queryTableRefresh nextId="3">
    <queryTableFields count="2">
      <queryTableField id="1" name="TIME" tableColumnId="1"/>
      <queryTableField id="2" name="Polan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216FB64-D717-F74F-9F4A-2555FBD45DF7}" autoFormatId="16" applyNumberFormats="0" applyBorderFormats="0" applyFontFormats="0" applyPatternFormats="0" applyAlignmentFormats="0" applyWidthHeightFormats="0">
  <queryTableRefresh nextId="3">
    <queryTableFields count="2">
      <queryTableField id="1" name="TIME" tableColumnId="1"/>
      <queryTableField id="2" name="Poland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5CE085-B063-C845-B0C1-AABD620A79D1}" name="GVA_B_C" displayName="GVA_B_C" ref="A1:O124" totalsRowShown="0">
  <autoFilter ref="A1:O124" xr:uid="{7B5CE085-B063-C845-B0C1-AABD620A79D1}"/>
  <tableColumns count="15">
    <tableColumn id="1" xr3:uid="{4044A275-C957-7F41-8838-DC657CEDFFF6}" name="TIME" dataDxfId="17"/>
    <tableColumn id="2" xr3:uid="{8C4B7B20-2D7F-9B44-B27E-7A2B829EA330}" name="YEAR" dataDxfId="16"/>
    <tableColumn id="3" xr3:uid="{6511647A-FB44-4A45-B9B2-FB53546A5D14}" name="QUARTER" dataDxfId="15"/>
    <tableColumn id="4" xr3:uid="{3C2710DC-7AAC-2F48-948E-579D579905B6}" name="Q_GVA_2020" dataDxfId="14"/>
    <tableColumn id="5" xr3:uid="{686AACBC-AD6B-3243-8B07-1D266F238326}" name="Q_CHAIN_INDEX" dataDxfId="13"/>
    <tableColumn id="6" xr3:uid="{EE7F7E6E-63BA-5943-B027-01A31CBBB3C8}" name="A_GVA_2020" dataDxfId="12"/>
    <tableColumn id="7" xr3:uid="{896C6871-4982-9A4C-AED4-5CDDCFDF6F8F}" name="A_CHAIN_INDEX" dataDxfId="11"/>
    <tableColumn id="8" xr3:uid="{0087A04B-64DA-874F-8E2A-0CD62107BFC2}" name="Q_REAL_GVA_2020_2024" dataDxfId="10"/>
    <tableColumn id="10" xr3:uid="{FEE828D6-E78B-0943-813E-4BC3A54FDD38}" name="Q_REAL_CHAIN_INDEX_2020_2024" dataDxfId="9"/>
    <tableColumn id="11" xr3:uid="{12245DAC-71F3-DC4F-9D57-E09DADA2DDC0}" name="A_REAL_GVA_2020_2024" dataDxfId="8"/>
    <tableColumn id="12" xr3:uid="{AAE6A7F0-A44D-4748-8961-86D88880D119}" name="A_REAL_CHAIN_INDEX_2020_2024" dataDxfId="4"/>
    <tableColumn id="9" xr3:uid="{D80E4FB5-0B6F-9048-8655-124C3C7EBED5}" name="Q_REAL_GVA_2020_2015" dataDxfId="3"/>
    <tableColumn id="13" xr3:uid="{F67DC79E-1304-6642-8110-B94D2BB42FEA}" name="Q_REAL_CHAIN_INDEX_2020_2015" dataDxfId="2"/>
    <tableColumn id="14" xr3:uid="{4D69FDC3-42F5-0B4D-B5FE-738A96A21307}" name="A_REAL_GVA_2020_2015" dataDxfId="0"/>
    <tableColumn id="15" xr3:uid="{DAE1D64F-F2EF-8D43-A251-997EFC34B8FA}" name="A_REAL_CHAIN_INDEX_2020_2015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E0D06-3E7E-FD44-AFDA-71681F8F15C2}" name="NANQ" displayName="NANQ" ref="A1:B124" tableType="queryTable" totalsRowShown="0">
  <autoFilter ref="A1:B124" xr:uid="{CF5E0D06-3E7E-FD44-AFDA-71681F8F15C2}"/>
  <tableColumns count="2">
    <tableColumn id="1" xr3:uid="{10519352-1623-664F-8F2A-D2AE9F300604}" uniqueName="1" name="TIME" queryTableFieldId="1" dataDxfId="7"/>
    <tableColumn id="2" xr3:uid="{CFB967E8-78A6-EB44-88A7-31685D53696A}" uniqueName="2" name="Poland" queryTableFieldId="2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B1EEDC-2972-3B45-A5BD-818CFCCFBA50}" name="NANA" displayName="NANA" ref="A1:B31" tableType="queryTable" totalsRowShown="0">
  <autoFilter ref="A1:B31" xr:uid="{CEB1EEDC-2972-3B45-A5BD-818CFCCFBA50}"/>
  <tableColumns count="2">
    <tableColumn id="1" xr3:uid="{966650AE-AE51-8D4C-B90D-988042C0D0E7}" uniqueName="1" name="TIME" queryTableFieldId="1"/>
    <tableColumn id="2" xr3:uid="{CF07385D-9A04-064B-BBE5-3293794371AE}" uniqueName="2" name="Poland" queryTableFieldId="2" dataDxfId="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90F2-AF56-3D4E-A16F-1FA103314B23}">
  <dimension ref="A1:Q124"/>
  <sheetViews>
    <sheetView tabSelected="1" topLeftCell="G1" workbookViewId="0">
      <selection activeCell="I14" sqref="I14"/>
    </sheetView>
  </sheetViews>
  <sheetFormatPr baseColWidth="10" defaultRowHeight="16" x14ac:dyDescent="0.2"/>
  <cols>
    <col min="1" max="1" width="8.1640625" style="1" bestFit="1" customWidth="1"/>
    <col min="2" max="2" width="8" style="3" bestFit="1" customWidth="1"/>
    <col min="3" max="3" width="11.5" style="3" bestFit="1" customWidth="1"/>
    <col min="4" max="4" width="14.33203125" style="4" bestFit="1" customWidth="1"/>
    <col min="5" max="5" width="17.5" style="2" bestFit="1" customWidth="1"/>
    <col min="6" max="6" width="14.83203125" style="4" bestFit="1" customWidth="1"/>
    <col min="7" max="7" width="17.33203125" style="2" bestFit="1" customWidth="1"/>
    <col min="8" max="8" width="24.6640625" style="4" bestFit="1" customWidth="1"/>
    <col min="9" max="9" width="32.83203125" style="2" bestFit="1" customWidth="1"/>
    <col min="10" max="10" width="24.5" style="4" bestFit="1" customWidth="1"/>
    <col min="11" max="11" width="32.6640625" style="2" bestFit="1" customWidth="1"/>
    <col min="12" max="12" width="24.6640625" style="4" bestFit="1" customWidth="1"/>
    <col min="13" max="13" width="32.83203125" style="4" bestFit="1" customWidth="1"/>
    <col min="14" max="14" width="24.5" style="4" customWidth="1"/>
    <col min="15" max="15" width="32.6640625" style="4" bestFit="1" customWidth="1"/>
    <col min="16" max="16" width="24.5" style="4" customWidth="1"/>
    <col min="17" max="17" width="37.6640625" bestFit="1" customWidth="1"/>
  </cols>
  <sheetData>
    <row r="1" spans="1:17" x14ac:dyDescent="0.2">
      <c r="A1" s="1" t="s">
        <v>0</v>
      </c>
      <c r="B1" s="3" t="s">
        <v>126</v>
      </c>
      <c r="C1" s="3" t="s">
        <v>127</v>
      </c>
      <c r="D1" s="4" t="s">
        <v>130</v>
      </c>
      <c r="E1" s="2" t="s">
        <v>128</v>
      </c>
      <c r="F1" s="4" t="s">
        <v>131</v>
      </c>
      <c r="G1" s="2" t="s">
        <v>129</v>
      </c>
      <c r="H1" s="4" t="s">
        <v>132</v>
      </c>
      <c r="I1" s="2" t="s">
        <v>135</v>
      </c>
      <c r="J1" s="4" t="s">
        <v>134</v>
      </c>
      <c r="K1" s="2" t="s">
        <v>136</v>
      </c>
      <c r="L1" s="4" t="s">
        <v>138</v>
      </c>
      <c r="M1" s="4" t="s">
        <v>139</v>
      </c>
      <c r="N1" s="4" t="s">
        <v>140</v>
      </c>
      <c r="O1" s="4" t="s">
        <v>141</v>
      </c>
    </row>
    <row r="2" spans="1:17" x14ac:dyDescent="0.2">
      <c r="A2" s="1" t="s">
        <v>3</v>
      </c>
      <c r="B2" s="3">
        <v>1995</v>
      </c>
      <c r="C2" s="3">
        <v>1</v>
      </c>
      <c r="D2" s="4">
        <v>185687.5</v>
      </c>
      <c r="H2" s="4">
        <f t="shared" ref="H2:H65" si="0">H3/E3</f>
        <v>248893.04044225474</v>
      </c>
      <c r="L2" s="4">
        <f t="shared" ref="L2:L65" si="1">L3/E3</f>
        <v>168075.61381862828</v>
      </c>
      <c r="M2" s="2"/>
      <c r="O2" s="2"/>
    </row>
    <row r="3" spans="1:17" x14ac:dyDescent="0.2">
      <c r="A3" s="1" t="s">
        <v>4</v>
      </c>
      <c r="B3" s="3">
        <v>1995</v>
      </c>
      <c r="C3" s="3">
        <v>2</v>
      </c>
      <c r="D3" s="4">
        <v>199760.9</v>
      </c>
      <c r="E3" s="2">
        <f>GVA_B_C[[#This Row],[Q_GVA_2020]]/D2</f>
        <v>1.0757907775159878</v>
      </c>
      <c r="H3" s="4">
        <f t="shared" si="0"/>
        <v>267756.83749569143</v>
      </c>
      <c r="I3" s="2">
        <f>GVA_B_C[[#This Row],[Q_REAL_GVA_2020_2024]]/H2</f>
        <v>1.0757907775159878</v>
      </c>
      <c r="L3" s="4">
        <f t="shared" si="1"/>
        <v>180814.19527141901</v>
      </c>
      <c r="M3" s="2">
        <f>GVA_B_C[[#This Row],[Q_REAL_GVA_2020_2015]]/L2</f>
        <v>1.0757907775159878</v>
      </c>
      <c r="O3" s="2"/>
    </row>
    <row r="4" spans="1:17" x14ac:dyDescent="0.2">
      <c r="A4" s="1" t="s">
        <v>5</v>
      </c>
      <c r="B4" s="3">
        <v>1995</v>
      </c>
      <c r="C4" s="3">
        <v>3</v>
      </c>
      <c r="D4" s="4">
        <v>212717.6</v>
      </c>
      <c r="E4" s="2">
        <f>GVA_B_C[[#This Row],[Q_GVA_2020]]/D3</f>
        <v>1.0648610413749637</v>
      </c>
      <c r="H4" s="4">
        <f t="shared" si="0"/>
        <v>285123.8248109289</v>
      </c>
      <c r="I4" s="2">
        <f>GVA_B_C[[#This Row],[Q_REAL_GVA_2020_2024]]/H3</f>
        <v>1.0648610413749637</v>
      </c>
      <c r="L4" s="4">
        <f t="shared" si="1"/>
        <v>192541.99227209931</v>
      </c>
      <c r="M4" s="2">
        <f>GVA_B_C[[#This Row],[Q_REAL_GVA_2020_2015]]/L3</f>
        <v>1.0648610413749637</v>
      </c>
      <c r="O4" s="2"/>
    </row>
    <row r="5" spans="1:17" x14ac:dyDescent="0.2">
      <c r="A5" s="1" t="s">
        <v>6</v>
      </c>
      <c r="B5" s="3">
        <v>1995</v>
      </c>
      <c r="C5" s="3">
        <v>4</v>
      </c>
      <c r="D5" s="4">
        <v>227539.5</v>
      </c>
      <c r="E5" s="2">
        <f>GVA_B_C[[#This Row],[Q_GVA_2020]]/D4</f>
        <v>1.0696787665900707</v>
      </c>
      <c r="F5" s="4">
        <f>IF(GVA_B_C[[#This Row],[QUARTER]]=4,SUM(D2:D5),"")</f>
        <v>825705.5</v>
      </c>
      <c r="H5" s="4">
        <f t="shared" si="0"/>
        <v>304990.90124919784</v>
      </c>
      <c r="I5" s="2">
        <f>GVA_B_C[[#This Row],[Q_REAL_GVA_2020_2024]]/H4</f>
        <v>1.0696787665900707</v>
      </c>
      <c r="J5" s="4">
        <f>IF(GVA_B_C[[#This Row],[QUARTER]]=4,SUM(H2:H5),"")</f>
        <v>1106764.6039980729</v>
      </c>
      <c r="L5" s="4">
        <f t="shared" si="1"/>
        <v>205958.0808104141</v>
      </c>
      <c r="M5" s="2">
        <f>GVA_B_C[[#This Row],[Q_REAL_GVA_2020_2015]]/L4</f>
        <v>1.0696787665900707</v>
      </c>
      <c r="N5" s="4">
        <f>IF(GVA_B_C[[#This Row],[QUARTER]]=4,SUM(L2:L5),"")</f>
        <v>747389.88217256078</v>
      </c>
      <c r="O5" s="2"/>
    </row>
    <row r="6" spans="1:17" x14ac:dyDescent="0.2">
      <c r="A6" s="1" t="s">
        <v>7</v>
      </c>
      <c r="B6" s="3">
        <f>B2+1</f>
        <v>1996</v>
      </c>
      <c r="C6" s="3">
        <f>C2</f>
        <v>1</v>
      </c>
      <c r="D6" s="4">
        <v>201061.5</v>
      </c>
      <c r="E6" s="2">
        <f>GVA_B_C[[#This Row],[Q_GVA_2020]]/D5</f>
        <v>0.88363339112549688</v>
      </c>
      <c r="F6" s="4" t="str">
        <f>IF(GVA_B_C[[#This Row],[QUARTER]]=4,SUM(D3:D6),"")</f>
        <v/>
      </c>
      <c r="H6" s="4">
        <f t="shared" si="0"/>
        <v>269500.14433325024</v>
      </c>
      <c r="I6" s="2">
        <f>GVA_B_C[[#This Row],[Q_REAL_GVA_2020_2024]]/H5</f>
        <v>0.88363339112549688</v>
      </c>
      <c r="J6" s="4" t="str">
        <f>IF(GVA_B_C[[#This Row],[QUARTER]]=4,SUM(H3:H6),"")</f>
        <v/>
      </c>
      <c r="L6" s="4">
        <f t="shared" si="1"/>
        <v>181991.43737620534</v>
      </c>
      <c r="M6" s="2">
        <f>GVA_B_C[[#This Row],[Q_REAL_GVA_2020_2015]]/L5</f>
        <v>0.88363339112549688</v>
      </c>
      <c r="N6" s="4" t="str">
        <f>IF(GVA_B_C[[#This Row],[QUARTER]]=4,SUM(L3:L6),"")</f>
        <v/>
      </c>
      <c r="O6" s="2"/>
    </row>
    <row r="7" spans="1:17" x14ac:dyDescent="0.2">
      <c r="A7" s="1" t="s">
        <v>8</v>
      </c>
      <c r="B7" s="3">
        <f t="shared" ref="B7:B70" si="2">B3+1</f>
        <v>1996</v>
      </c>
      <c r="C7" s="3">
        <f t="shared" ref="C7:C70" si="3">C3</f>
        <v>2</v>
      </c>
      <c r="D7" s="4">
        <v>216491.7</v>
      </c>
      <c r="E7" s="2">
        <f>GVA_B_C[[#This Row],[Q_GVA_2020]]/D6</f>
        <v>1.0767436829029924</v>
      </c>
      <c r="F7" s="4" t="str">
        <f>IF(GVA_B_C[[#This Row],[QUARTER]]=4,SUM(D4:D7),"")</f>
        <v/>
      </c>
      <c r="H7" s="4">
        <f t="shared" si="0"/>
        <v>290182.57795227185</v>
      </c>
      <c r="I7" s="2">
        <f>GVA_B_C[[#This Row],[Q_REAL_GVA_2020_2024]]/H6</f>
        <v>1.0767436829029924</v>
      </c>
      <c r="J7" s="4" t="str">
        <f>IF(GVA_B_C[[#This Row],[QUARTER]]=4,SUM(H4:H7),"")</f>
        <v/>
      </c>
      <c r="L7" s="4">
        <f t="shared" si="1"/>
        <v>195958.13053726463</v>
      </c>
      <c r="M7" s="2">
        <f>GVA_B_C[[#This Row],[Q_REAL_GVA_2020_2015]]/L6</f>
        <v>1.0767436829029924</v>
      </c>
      <c r="N7" s="4" t="str">
        <f>IF(GVA_B_C[[#This Row],[QUARTER]]=4,SUM(L4:L7),"")</f>
        <v/>
      </c>
      <c r="O7" s="2"/>
      <c r="Q7" s="4"/>
    </row>
    <row r="8" spans="1:17" x14ac:dyDescent="0.2">
      <c r="A8" s="1" t="s">
        <v>9</v>
      </c>
      <c r="B8" s="3">
        <f t="shared" si="2"/>
        <v>1996</v>
      </c>
      <c r="C8" s="3">
        <f t="shared" si="3"/>
        <v>3</v>
      </c>
      <c r="D8" s="4">
        <v>222789.2</v>
      </c>
      <c r="E8" s="2">
        <f>GVA_B_C[[#This Row],[Q_GVA_2020]]/D7</f>
        <v>1.0290888750007505</v>
      </c>
      <c r="F8" s="4" t="str">
        <f>IF(GVA_B_C[[#This Row],[QUARTER]]=4,SUM(D5:D8),"")</f>
        <v/>
      </c>
      <c r="H8" s="4">
        <f t="shared" si="0"/>
        <v>298623.66268972104</v>
      </c>
      <c r="I8" s="2">
        <f>GVA_B_C[[#This Row],[Q_REAL_GVA_2020_2024]]/H7</f>
        <v>1.0290888750007505</v>
      </c>
      <c r="J8" s="4" t="str">
        <f>IF(GVA_B_C[[#This Row],[QUARTER]]=4,SUM(H5:H8),"")</f>
        <v/>
      </c>
      <c r="L8" s="4">
        <f t="shared" si="1"/>
        <v>201658.33210184387</v>
      </c>
      <c r="M8" s="2">
        <f>GVA_B_C[[#This Row],[Q_REAL_GVA_2020_2015]]/L7</f>
        <v>1.0290888750007505</v>
      </c>
      <c r="N8" s="4" t="str">
        <f>IF(GVA_B_C[[#This Row],[QUARTER]]=4,SUM(L5:L8),"")</f>
        <v/>
      </c>
      <c r="O8" s="2"/>
    </row>
    <row r="9" spans="1:17" x14ac:dyDescent="0.2">
      <c r="A9" s="1" t="s">
        <v>10</v>
      </c>
      <c r="B9" s="3">
        <f t="shared" si="2"/>
        <v>1996</v>
      </c>
      <c r="C9" s="3">
        <f t="shared" si="3"/>
        <v>4</v>
      </c>
      <c r="D9" s="4">
        <v>231167.8</v>
      </c>
      <c r="E9" s="2">
        <f>GVA_B_C[[#This Row],[Q_GVA_2020]]/D8</f>
        <v>1.0376077475927916</v>
      </c>
      <c r="F9" s="4">
        <f>IF(GVA_B_C[[#This Row],[QUARTER]]=4,SUM(D6:D9),"")</f>
        <v>871510.2</v>
      </c>
      <c r="G9" s="2">
        <f>IF(GVA_B_C[[#This Row],[QUARTER]]=4,GVA_B_C[[#This Row],[A_GVA_2020]]/F5,"")</f>
        <v>1.0554734103139678</v>
      </c>
      <c r="H9" s="4">
        <f t="shared" si="0"/>
        <v>309854.22602139099</v>
      </c>
      <c r="I9" s="2">
        <f>GVA_B_C[[#This Row],[Q_REAL_GVA_2020_2024]]/H8</f>
        <v>1.0376077475927916</v>
      </c>
      <c r="J9" s="4">
        <f>IF(GVA_B_C[[#This Row],[QUARTER]]=4,SUM(H6:H9),"")</f>
        <v>1168160.6109966342</v>
      </c>
      <c r="K9" s="2">
        <f>IF(GVA_B_C[[#This Row],[QUARTER]]=4,GVA_B_C[[#This Row],[A_REAL_GVA_2020_2024]]/J5,"")</f>
        <v>1.055473410313968</v>
      </c>
      <c r="L9" s="4">
        <f t="shared" si="1"/>
        <v>209242.24775551335</v>
      </c>
      <c r="M9" s="2">
        <f>GVA_B_C[[#This Row],[Q_REAL_GVA_2020_2015]]/L8</f>
        <v>1.0376077475927916</v>
      </c>
      <c r="N9" s="4">
        <f>IF(GVA_B_C[[#This Row],[QUARTER]]=4,SUM(L6:L9),"")</f>
        <v>788850.14777082717</v>
      </c>
      <c r="O9" s="2">
        <f>IF(GVA_B_C[[#This Row],[QUARTER]]=4,GVA_B_C[[#This Row],[A_REAL_GVA_2020_2015]]/N5,"")</f>
        <v>1.0554734103139676</v>
      </c>
    </row>
    <row r="10" spans="1:17" x14ac:dyDescent="0.2">
      <c r="A10" s="1" t="s">
        <v>11</v>
      </c>
      <c r="B10" s="3">
        <f t="shared" si="2"/>
        <v>1997</v>
      </c>
      <c r="C10" s="3">
        <f t="shared" si="3"/>
        <v>1</v>
      </c>
      <c r="D10" s="4">
        <v>212303.8</v>
      </c>
      <c r="E10" s="2">
        <f>GVA_B_C[[#This Row],[Q_GVA_2020]]/D9</f>
        <v>0.91839693936612277</v>
      </c>
      <c r="F10" s="4" t="str">
        <f>IF(GVA_B_C[[#This Row],[QUARTER]]=4,SUM(D7:D10),"")</f>
        <v/>
      </c>
      <c r="G10" s="2" t="str">
        <f>IF(GVA_B_C[[#This Row],[QUARTER]]=4,GVA_B_C[[#This Row],[A_GVA_2020]]/F6,"")</f>
        <v/>
      </c>
      <c r="H10" s="4">
        <f t="shared" si="0"/>
        <v>284569.17282770434</v>
      </c>
      <c r="I10" s="2">
        <f>GVA_B_C[[#This Row],[Q_REAL_GVA_2020_2024]]/H9</f>
        <v>0.91839693936612288</v>
      </c>
      <c r="J10" s="4" t="str">
        <f>IF(GVA_B_C[[#This Row],[QUARTER]]=4,SUM(H7:H10),"")</f>
        <v/>
      </c>
      <c r="K10" s="2" t="str">
        <f>IF(GVA_B_C[[#This Row],[QUARTER]]=4,GVA_B_C[[#This Row],[A_REAL_GVA_2020_2024]]/J6,"")</f>
        <v/>
      </c>
      <c r="L10" s="4">
        <f t="shared" si="1"/>
        <v>192167.43992475144</v>
      </c>
      <c r="M10" s="2">
        <f>GVA_B_C[[#This Row],[Q_REAL_GVA_2020_2015]]/L9</f>
        <v>0.91839693936612277</v>
      </c>
      <c r="N10" s="4" t="str">
        <f>IF(GVA_B_C[[#This Row],[QUARTER]]=4,SUM(L7:L10),"")</f>
        <v/>
      </c>
      <c r="O10" s="2" t="str">
        <f>IF(GVA_B_C[[#This Row],[QUARTER]]=4,GVA_B_C[[#This Row],[A_REAL_GVA_2020_2015]]/N6,"")</f>
        <v/>
      </c>
    </row>
    <row r="11" spans="1:17" x14ac:dyDescent="0.2">
      <c r="A11" s="1" t="s">
        <v>12</v>
      </c>
      <c r="B11" s="3">
        <f t="shared" si="2"/>
        <v>1997</v>
      </c>
      <c r="C11" s="3">
        <f t="shared" si="3"/>
        <v>2</v>
      </c>
      <c r="D11" s="4">
        <v>225182.7</v>
      </c>
      <c r="E11" s="2">
        <f>GVA_B_C[[#This Row],[Q_GVA_2020]]/D10</f>
        <v>1.0606625976548703</v>
      </c>
      <c r="F11" s="4" t="str">
        <f>IF(GVA_B_C[[#This Row],[QUARTER]]=4,SUM(D8:D11),"")</f>
        <v/>
      </c>
      <c r="G11" s="2" t="str">
        <f>IF(GVA_B_C[[#This Row],[QUARTER]]=4,GVA_B_C[[#This Row],[A_GVA_2020]]/F7,"")</f>
        <v/>
      </c>
      <c r="H11" s="4">
        <f t="shared" si="0"/>
        <v>301831.87806393061</v>
      </c>
      <c r="I11" s="2">
        <f>GVA_B_C[[#This Row],[Q_REAL_GVA_2020_2024]]/H10</f>
        <v>1.0606625976548703</v>
      </c>
      <c r="J11" s="4" t="str">
        <f>IF(GVA_B_C[[#This Row],[QUARTER]]=4,SUM(H8:H11),"")</f>
        <v/>
      </c>
      <c r="K11" s="2" t="str">
        <f>IF(GVA_B_C[[#This Row],[QUARTER]]=4,GVA_B_C[[#This Row],[A_REAL_GVA_2020_2024]]/J7,"")</f>
        <v/>
      </c>
      <c r="L11" s="4">
        <f t="shared" si="1"/>
        <v>203824.81601527307</v>
      </c>
      <c r="M11" s="2">
        <f>GVA_B_C[[#This Row],[Q_REAL_GVA_2020_2015]]/L10</f>
        <v>1.0606625976548703</v>
      </c>
      <c r="N11" s="4" t="str">
        <f>IF(GVA_B_C[[#This Row],[QUARTER]]=4,SUM(L8:L11),"")</f>
        <v/>
      </c>
      <c r="O11" s="2" t="str">
        <f>IF(GVA_B_C[[#This Row],[QUARTER]]=4,GVA_B_C[[#This Row],[A_REAL_GVA_2020_2015]]/N7,"")</f>
        <v/>
      </c>
    </row>
    <row r="12" spans="1:17" x14ac:dyDescent="0.2">
      <c r="A12" s="1" t="s">
        <v>13</v>
      </c>
      <c r="B12" s="3">
        <f t="shared" si="2"/>
        <v>1997</v>
      </c>
      <c r="C12" s="3">
        <f t="shared" si="3"/>
        <v>3</v>
      </c>
      <c r="D12" s="4">
        <v>228170.3</v>
      </c>
      <c r="E12" s="2">
        <f>GVA_B_C[[#This Row],[Q_GVA_2020]]/D11</f>
        <v>1.0132674490535907</v>
      </c>
      <c r="F12" s="4" t="str">
        <f>IF(GVA_B_C[[#This Row],[QUARTER]]=4,SUM(D9:D12),"")</f>
        <v/>
      </c>
      <c r="G12" s="2" t="str">
        <f>IF(GVA_B_C[[#This Row],[QUARTER]]=4,GVA_B_C[[#This Row],[A_GVA_2020]]/F8,"")</f>
        <v/>
      </c>
      <c r="H12" s="4">
        <f t="shared" si="0"/>
        <v>305836.41712889337</v>
      </c>
      <c r="I12" s="2">
        <f>GVA_B_C[[#This Row],[Q_REAL_GVA_2020_2024]]/H11</f>
        <v>1.0132674490535907</v>
      </c>
      <c r="J12" s="4" t="str">
        <f>IF(GVA_B_C[[#This Row],[QUARTER]]=4,SUM(H9:H12),"")</f>
        <v/>
      </c>
      <c r="K12" s="2" t="str">
        <f>IF(GVA_B_C[[#This Row],[QUARTER]]=4,GVA_B_C[[#This Row],[A_REAL_GVA_2020_2024]]/J8,"")</f>
        <v/>
      </c>
      <c r="L12" s="4">
        <f t="shared" si="1"/>
        <v>206529.05137761318</v>
      </c>
      <c r="M12" s="2">
        <f>GVA_B_C[[#This Row],[Q_REAL_GVA_2020_2015]]/L11</f>
        <v>1.0132674490535907</v>
      </c>
      <c r="N12" s="4" t="str">
        <f>IF(GVA_B_C[[#This Row],[QUARTER]]=4,SUM(L9:L12),"")</f>
        <v/>
      </c>
      <c r="O12" s="2" t="str">
        <f>IF(GVA_B_C[[#This Row],[QUARTER]]=4,GVA_B_C[[#This Row],[A_REAL_GVA_2020_2015]]/N8,"")</f>
        <v/>
      </c>
    </row>
    <row r="13" spans="1:17" x14ac:dyDescent="0.2">
      <c r="A13" s="1" t="s">
        <v>14</v>
      </c>
      <c r="B13" s="3">
        <f t="shared" si="2"/>
        <v>1997</v>
      </c>
      <c r="C13" s="3">
        <f t="shared" si="3"/>
        <v>4</v>
      </c>
      <c r="D13" s="4">
        <v>255581.2</v>
      </c>
      <c r="E13" s="2">
        <f>GVA_B_C[[#This Row],[Q_GVA_2020]]/D12</f>
        <v>1.1201335143092683</v>
      </c>
      <c r="F13" s="4">
        <f>IF(GVA_B_C[[#This Row],[QUARTER]]=4,SUM(D10:D13),"")</f>
        <v>921238</v>
      </c>
      <c r="G13" s="2">
        <f>IF(GVA_B_C[[#This Row],[QUARTER]]=4,GVA_B_C[[#This Row],[A_GVA_2020]]/F9,"")</f>
        <v>1.0570593436542683</v>
      </c>
      <c r="H13" s="4">
        <f t="shared" si="0"/>
        <v>342577.62072234263</v>
      </c>
      <c r="I13" s="2">
        <f>GVA_B_C[[#This Row],[Q_REAL_GVA_2020_2024]]/H12</f>
        <v>1.1201335143092683</v>
      </c>
      <c r="J13" s="4">
        <f>IF(GVA_B_C[[#This Row],[QUARTER]]=4,SUM(H10:H13),"")</f>
        <v>1234815.0887428708</v>
      </c>
      <c r="K13" s="2">
        <f>IF(GVA_B_C[[#This Row],[QUARTER]]=4,GVA_B_C[[#This Row],[A_REAL_GVA_2020_2024]]/J9,"")</f>
        <v>1.0570593436542679</v>
      </c>
      <c r="L13" s="4">
        <f t="shared" si="1"/>
        <v>231340.11212656528</v>
      </c>
      <c r="M13" s="2">
        <f>GVA_B_C[[#This Row],[Q_REAL_GVA_2020_2015]]/L12</f>
        <v>1.1201335143092683</v>
      </c>
      <c r="N13" s="4">
        <f>IF(GVA_B_C[[#This Row],[QUARTER]]=4,SUM(L10:L13),"")</f>
        <v>833861.41944420303</v>
      </c>
      <c r="O13" s="2">
        <f>IF(GVA_B_C[[#This Row],[QUARTER]]=4,GVA_B_C[[#This Row],[A_REAL_GVA_2020_2015]]/N9,"")</f>
        <v>1.0570593436542681</v>
      </c>
    </row>
    <row r="14" spans="1:17" x14ac:dyDescent="0.2">
      <c r="A14" s="1" t="s">
        <v>15</v>
      </c>
      <c r="B14" s="3">
        <f t="shared" si="2"/>
        <v>1998</v>
      </c>
      <c r="C14" s="3">
        <f t="shared" si="3"/>
        <v>1</v>
      </c>
      <c r="D14" s="4">
        <v>224077.8</v>
      </c>
      <c r="E14" s="2">
        <f>GVA_B_C[[#This Row],[Q_GVA_2020]]/D13</f>
        <v>0.87673819514111362</v>
      </c>
      <c r="F14" s="4" t="str">
        <f>IF(GVA_B_C[[#This Row],[QUARTER]]=4,SUM(D11:D14),"")</f>
        <v/>
      </c>
      <c r="G14" s="2" t="str">
        <f>IF(GVA_B_C[[#This Row],[QUARTER]]=4,GVA_B_C[[#This Row],[A_GVA_2020]]/F10,"")</f>
        <v/>
      </c>
      <c r="H14" s="4">
        <f t="shared" si="0"/>
        <v>300350.88488784363</v>
      </c>
      <c r="I14" s="2">
        <f>GVA_B_C[[#This Row],[Q_REAL_GVA_2020_2024]]/H13</f>
        <v>0.87673819514111362</v>
      </c>
      <c r="J14" s="4" t="str">
        <f>IF(GVA_B_C[[#This Row],[QUARTER]]=4,SUM(H11:H14),"")</f>
        <v/>
      </c>
      <c r="K14" s="2" t="str">
        <f>IF(GVA_B_C[[#This Row],[QUARTER]]=4,GVA_B_C[[#This Row],[A_REAL_GVA_2020_2024]]/J10,"")</f>
        <v/>
      </c>
      <c r="L14" s="4">
        <f t="shared" si="1"/>
        <v>202824.71236958768</v>
      </c>
      <c r="M14" s="2">
        <f>GVA_B_C[[#This Row],[Q_REAL_GVA_2020_2015]]/L13</f>
        <v>0.87673819514111362</v>
      </c>
      <c r="N14" s="4" t="str">
        <f>IF(GVA_B_C[[#This Row],[QUARTER]]=4,SUM(L11:L14),"")</f>
        <v/>
      </c>
      <c r="O14" s="2" t="str">
        <f>IF(GVA_B_C[[#This Row],[QUARTER]]=4,GVA_B_C[[#This Row],[A_REAL_GVA_2020_2015]]/N10,"")</f>
        <v/>
      </c>
    </row>
    <row r="15" spans="1:17" x14ac:dyDescent="0.2">
      <c r="A15" s="1" t="s">
        <v>16</v>
      </c>
      <c r="B15" s="3">
        <f t="shared" si="2"/>
        <v>1998</v>
      </c>
      <c r="C15" s="3">
        <f t="shared" si="3"/>
        <v>2</v>
      </c>
      <c r="D15" s="4">
        <v>232762.3</v>
      </c>
      <c r="E15" s="2">
        <f>GVA_B_C[[#This Row],[Q_GVA_2020]]/D14</f>
        <v>1.0387566282782141</v>
      </c>
      <c r="F15" s="4" t="str">
        <f>IF(GVA_B_C[[#This Row],[QUARTER]]=4,SUM(D12:D15),"")</f>
        <v/>
      </c>
      <c r="G15" s="2" t="str">
        <f>IF(GVA_B_C[[#This Row],[QUARTER]]=4,GVA_B_C[[#This Row],[A_GVA_2020]]/F11,"")</f>
        <v/>
      </c>
      <c r="H15" s="4">
        <f t="shared" si="0"/>
        <v>311991.47248647449</v>
      </c>
      <c r="I15" s="2">
        <f>GVA_B_C[[#This Row],[Q_REAL_GVA_2020_2024]]/H14</f>
        <v>1.0387566282782141</v>
      </c>
      <c r="J15" s="4" t="str">
        <f>IF(GVA_B_C[[#This Row],[QUARTER]]=4,SUM(H12:H15),"")</f>
        <v/>
      </c>
      <c r="K15" s="2" t="str">
        <f>IF(GVA_B_C[[#This Row],[QUARTER]]=4,GVA_B_C[[#This Row],[A_REAL_GVA_2020_2024]]/J11,"")</f>
        <v/>
      </c>
      <c r="L15" s="4">
        <f t="shared" si="1"/>
        <v>210685.51435253149</v>
      </c>
      <c r="M15" s="2">
        <f>GVA_B_C[[#This Row],[Q_REAL_GVA_2020_2015]]/L14</f>
        <v>1.0387566282782141</v>
      </c>
      <c r="N15" s="4" t="str">
        <f>IF(GVA_B_C[[#This Row],[QUARTER]]=4,SUM(L12:L15),"")</f>
        <v/>
      </c>
      <c r="O15" s="2" t="str">
        <f>IF(GVA_B_C[[#This Row],[QUARTER]]=4,GVA_B_C[[#This Row],[A_REAL_GVA_2020_2015]]/N11,"")</f>
        <v/>
      </c>
    </row>
    <row r="16" spans="1:17" x14ac:dyDescent="0.2">
      <c r="A16" s="1" t="s">
        <v>17</v>
      </c>
      <c r="B16" s="3">
        <f t="shared" si="2"/>
        <v>1998</v>
      </c>
      <c r="C16" s="3">
        <f t="shared" si="3"/>
        <v>3</v>
      </c>
      <c r="D16" s="4">
        <v>237958.1</v>
      </c>
      <c r="E16" s="2">
        <f>GVA_B_C[[#This Row],[Q_GVA_2020]]/D15</f>
        <v>1.0223223434379194</v>
      </c>
      <c r="F16" s="4" t="str">
        <f>IF(GVA_B_C[[#This Row],[QUARTER]]=4,SUM(D13:D16),"")</f>
        <v/>
      </c>
      <c r="G16" s="2" t="str">
        <f>IF(GVA_B_C[[#This Row],[QUARTER]]=4,GVA_B_C[[#This Row],[A_GVA_2020]]/F12,"")</f>
        <v/>
      </c>
      <c r="H16" s="4">
        <f t="shared" si="0"/>
        <v>318955.85328501975</v>
      </c>
      <c r="I16" s="2">
        <f>GVA_B_C[[#This Row],[Q_REAL_GVA_2020_2024]]/H15</f>
        <v>1.0223223434379194</v>
      </c>
      <c r="J16" s="4" t="str">
        <f>IF(GVA_B_C[[#This Row],[QUARTER]]=4,SUM(H13:H16),"")</f>
        <v/>
      </c>
      <c r="K16" s="2" t="str">
        <f>IF(GVA_B_C[[#This Row],[QUARTER]]=4,GVA_B_C[[#This Row],[A_REAL_GVA_2020_2024]]/J12,"")</f>
        <v/>
      </c>
      <c r="L16" s="4">
        <f t="shared" si="1"/>
        <v>215388.50876130338</v>
      </c>
      <c r="M16" s="2">
        <f>GVA_B_C[[#This Row],[Q_REAL_GVA_2020_2015]]/L15</f>
        <v>1.0223223434379194</v>
      </c>
      <c r="N16" s="4" t="str">
        <f>IF(GVA_B_C[[#This Row],[QUARTER]]=4,SUM(L13:L16),"")</f>
        <v/>
      </c>
      <c r="O16" s="2" t="str">
        <f>IF(GVA_B_C[[#This Row],[QUARTER]]=4,GVA_B_C[[#This Row],[A_REAL_GVA_2020_2015]]/N12,"")</f>
        <v/>
      </c>
    </row>
    <row r="17" spans="1:15" x14ac:dyDescent="0.2">
      <c r="A17" s="1" t="s">
        <v>18</v>
      </c>
      <c r="B17" s="3">
        <f t="shared" si="2"/>
        <v>1998</v>
      </c>
      <c r="C17" s="3">
        <f t="shared" si="3"/>
        <v>4</v>
      </c>
      <c r="D17" s="4">
        <v>267332.7</v>
      </c>
      <c r="E17" s="2">
        <f>GVA_B_C[[#This Row],[Q_GVA_2020]]/D16</f>
        <v>1.1234444215179058</v>
      </c>
      <c r="F17" s="4">
        <f>IF(GVA_B_C[[#This Row],[QUARTER]]=4,SUM(D14:D17),"")</f>
        <v>962130.89999999991</v>
      </c>
      <c r="G17" s="2">
        <f>IF(GVA_B_C[[#This Row],[QUARTER]]=4,GVA_B_C[[#This Row],[A_GVA_2020]]/F13,"")</f>
        <v>1.0443890720964615</v>
      </c>
      <c r="H17" s="4">
        <f t="shared" si="0"/>
        <v>358329.17408353905</v>
      </c>
      <c r="I17" s="2">
        <f>GVA_B_C[[#This Row],[Q_REAL_GVA_2020_2024]]/H16</f>
        <v>1.1234444215179058</v>
      </c>
      <c r="J17" s="4">
        <f>IF(GVA_B_C[[#This Row],[QUARTER]]=4,SUM(H14:H17),"")</f>
        <v>1289627.384742877</v>
      </c>
      <c r="K17" s="2">
        <f>IF(GVA_B_C[[#This Row],[QUARTER]]=4,GVA_B_C[[#This Row],[A_REAL_GVA_2020_2024]]/J13,"")</f>
        <v>1.0443890720964617</v>
      </c>
      <c r="L17" s="4">
        <f t="shared" si="1"/>
        <v>241977.01862694687</v>
      </c>
      <c r="M17" s="2">
        <f>GVA_B_C[[#This Row],[Q_REAL_GVA_2020_2015]]/L16</f>
        <v>1.1234444215179058</v>
      </c>
      <c r="N17" s="4">
        <f>IF(GVA_B_C[[#This Row],[QUARTER]]=4,SUM(L14:L17),"")</f>
        <v>870875.75411036937</v>
      </c>
      <c r="O17" s="2">
        <f>IF(GVA_B_C[[#This Row],[QUARTER]]=4,GVA_B_C[[#This Row],[A_REAL_GVA_2020_2015]]/N13,"")</f>
        <v>1.0443890720964613</v>
      </c>
    </row>
    <row r="18" spans="1:15" x14ac:dyDescent="0.2">
      <c r="A18" s="1" t="s">
        <v>19</v>
      </c>
      <c r="B18" s="3">
        <f t="shared" si="2"/>
        <v>1999</v>
      </c>
      <c r="C18" s="3">
        <f t="shared" si="3"/>
        <v>1</v>
      </c>
      <c r="D18" s="4">
        <v>227499.8</v>
      </c>
      <c r="E18" s="2">
        <f>GVA_B_C[[#This Row],[Q_GVA_2020]]/D17</f>
        <v>0.85099877418662206</v>
      </c>
      <c r="F18" s="4" t="str">
        <f>IF(GVA_B_C[[#This Row],[QUARTER]]=4,SUM(D15:D18),"")</f>
        <v/>
      </c>
      <c r="G18" s="2" t="str">
        <f>IF(GVA_B_C[[#This Row],[QUARTER]]=4,GVA_B_C[[#This Row],[A_GVA_2020]]/F14,"")</f>
        <v/>
      </c>
      <c r="H18" s="4">
        <f t="shared" si="0"/>
        <v>304937.68790039641</v>
      </c>
      <c r="I18" s="2">
        <f>GVA_B_C[[#This Row],[Q_REAL_GVA_2020_2024]]/H17</f>
        <v>0.85099877418662195</v>
      </c>
      <c r="J18" s="4" t="str">
        <f>IF(GVA_B_C[[#This Row],[QUARTER]]=4,SUM(H15:H18),"")</f>
        <v/>
      </c>
      <c r="K18" s="2" t="str">
        <f>IF(GVA_B_C[[#This Row],[QUARTER]]=4,GVA_B_C[[#This Row],[A_REAL_GVA_2020_2024]]/J14,"")</f>
        <v/>
      </c>
      <c r="L18" s="4">
        <f t="shared" si="1"/>
        <v>205922.1462328652</v>
      </c>
      <c r="M18" s="2">
        <f>GVA_B_C[[#This Row],[Q_REAL_GVA_2020_2015]]/L17</f>
        <v>0.85099877418662206</v>
      </c>
      <c r="N18" s="4" t="str">
        <f>IF(GVA_B_C[[#This Row],[QUARTER]]=4,SUM(L15:L18),"")</f>
        <v/>
      </c>
      <c r="O18" s="2" t="str">
        <f>IF(GVA_B_C[[#This Row],[QUARTER]]=4,GVA_B_C[[#This Row],[A_REAL_GVA_2020_2015]]/N14,"")</f>
        <v/>
      </c>
    </row>
    <row r="19" spans="1:15" x14ac:dyDescent="0.2">
      <c r="A19" s="1" t="s">
        <v>20</v>
      </c>
      <c r="B19" s="3">
        <f t="shared" si="2"/>
        <v>1999</v>
      </c>
      <c r="C19" s="3">
        <f t="shared" si="3"/>
        <v>2</v>
      </c>
      <c r="D19" s="4">
        <v>240654.7</v>
      </c>
      <c r="E19" s="2">
        <f>GVA_B_C[[#This Row],[Q_GVA_2020]]/D18</f>
        <v>1.0578237870978349</v>
      </c>
      <c r="F19" s="4" t="str">
        <f>IF(GVA_B_C[[#This Row],[QUARTER]]=4,SUM(D16:D19),"")</f>
        <v/>
      </c>
      <c r="G19" s="2" t="str">
        <f>IF(GVA_B_C[[#This Row],[QUARTER]]=4,GVA_B_C[[#This Row],[A_GVA_2020]]/F15,"")</f>
        <v/>
      </c>
      <c r="H19" s="4">
        <f t="shared" si="0"/>
        <v>322570.33984365495</v>
      </c>
      <c r="I19" s="2">
        <f>GVA_B_C[[#This Row],[Q_REAL_GVA_2020_2024]]/H18</f>
        <v>1.0578237870978349</v>
      </c>
      <c r="J19" s="4" t="str">
        <f>IF(GVA_B_C[[#This Row],[QUARTER]]=4,SUM(H16:H19),"")</f>
        <v/>
      </c>
      <c r="K19" s="2" t="str">
        <f>IF(GVA_B_C[[#This Row],[QUARTER]]=4,GVA_B_C[[#This Row],[A_REAL_GVA_2020_2024]]/J15,"")</f>
        <v/>
      </c>
      <c r="L19" s="4">
        <f t="shared" si="1"/>
        <v>217829.34457536362</v>
      </c>
      <c r="M19" s="2">
        <f>GVA_B_C[[#This Row],[Q_REAL_GVA_2020_2015]]/L18</f>
        <v>1.0578237870978349</v>
      </c>
      <c r="N19" s="4" t="str">
        <f>IF(GVA_B_C[[#This Row],[QUARTER]]=4,SUM(L16:L19),"")</f>
        <v/>
      </c>
      <c r="O19" s="2" t="str">
        <f>IF(GVA_B_C[[#This Row],[QUARTER]]=4,GVA_B_C[[#This Row],[A_REAL_GVA_2020_2015]]/N15,"")</f>
        <v/>
      </c>
    </row>
    <row r="20" spans="1:15" x14ac:dyDescent="0.2">
      <c r="A20" s="1" t="s">
        <v>21</v>
      </c>
      <c r="B20" s="3">
        <f t="shared" si="2"/>
        <v>1999</v>
      </c>
      <c r="C20" s="3">
        <f t="shared" si="3"/>
        <v>3</v>
      </c>
      <c r="D20" s="4">
        <v>249791.5</v>
      </c>
      <c r="E20" s="2">
        <f>GVA_B_C[[#This Row],[Q_GVA_2020]]/D19</f>
        <v>1.0379664307408083</v>
      </c>
      <c r="F20" s="4" t="str">
        <f>IF(GVA_B_C[[#This Row],[QUARTER]]=4,SUM(D17:D20),"")</f>
        <v/>
      </c>
      <c r="G20" s="2" t="str">
        <f>IF(GVA_B_C[[#This Row],[QUARTER]]=4,GVA_B_C[[#This Row],[A_GVA_2020]]/F16,"")</f>
        <v/>
      </c>
      <c r="H20" s="4">
        <f t="shared" si="0"/>
        <v>334817.18431036809</v>
      </c>
      <c r="I20" s="2">
        <f>GVA_B_C[[#This Row],[Q_REAL_GVA_2020_2024]]/H19</f>
        <v>1.0379664307408083</v>
      </c>
      <c r="J20" s="4" t="str">
        <f>IF(GVA_B_C[[#This Row],[QUARTER]]=4,SUM(H17:H20),"")</f>
        <v/>
      </c>
      <c r="K20" s="2" t="str">
        <f>IF(GVA_B_C[[#This Row],[QUARTER]]=4,GVA_B_C[[#This Row],[A_REAL_GVA_2020_2024]]/J16,"")</f>
        <v/>
      </c>
      <c r="L20" s="4">
        <f t="shared" si="1"/>
        <v>226099.54729949983</v>
      </c>
      <c r="M20" s="2">
        <f>GVA_B_C[[#This Row],[Q_REAL_GVA_2020_2015]]/L19</f>
        <v>1.0379664307408083</v>
      </c>
      <c r="N20" s="4" t="str">
        <f>IF(GVA_B_C[[#This Row],[QUARTER]]=4,SUM(L17:L20),"")</f>
        <v/>
      </c>
      <c r="O20" s="2" t="str">
        <f>IF(GVA_B_C[[#This Row],[QUARTER]]=4,GVA_B_C[[#This Row],[A_REAL_GVA_2020_2015]]/N16,"")</f>
        <v/>
      </c>
    </row>
    <row r="21" spans="1:15" x14ac:dyDescent="0.2">
      <c r="A21" s="1" t="s">
        <v>22</v>
      </c>
      <c r="B21" s="3">
        <f t="shared" si="2"/>
        <v>1999</v>
      </c>
      <c r="C21" s="3">
        <f t="shared" si="3"/>
        <v>4</v>
      </c>
      <c r="D21" s="4">
        <v>287079.3</v>
      </c>
      <c r="E21" s="2">
        <f>GVA_B_C[[#This Row],[Q_GVA_2020]]/D20</f>
        <v>1.149275695930406</v>
      </c>
      <c r="F21" s="4">
        <f>IF(GVA_B_C[[#This Row],[QUARTER]]=4,SUM(D18:D21),"")</f>
        <v>1005025.3</v>
      </c>
      <c r="G21" s="2">
        <f>IF(GVA_B_C[[#This Row],[QUARTER]]=4,GVA_B_C[[#This Row],[A_GVA_2020]]/F17,"")</f>
        <v>1.0445827069892466</v>
      </c>
      <c r="H21" s="4">
        <f t="shared" si="0"/>
        <v>384797.25250775728</v>
      </c>
      <c r="I21" s="2">
        <f>GVA_B_C[[#This Row],[Q_REAL_GVA_2020_2024]]/H20</f>
        <v>1.149275695930406</v>
      </c>
      <c r="J21" s="4">
        <f>IF(GVA_B_C[[#This Row],[QUARTER]]=4,SUM(H18:H21),"")</f>
        <v>1347122.4645621767</v>
      </c>
      <c r="K21" s="2">
        <f>IF(GVA_B_C[[#This Row],[QUARTER]]=4,GVA_B_C[[#This Row],[A_REAL_GVA_2020_2024]]/J17,"")</f>
        <v>1.0445827069892464</v>
      </c>
      <c r="L21" s="4">
        <f t="shared" si="1"/>
        <v>259850.71457218242</v>
      </c>
      <c r="M21" s="2">
        <f>GVA_B_C[[#This Row],[Q_REAL_GVA_2020_2015]]/L20</f>
        <v>1.149275695930406</v>
      </c>
      <c r="N21" s="4">
        <f>IF(GVA_B_C[[#This Row],[QUARTER]]=4,SUM(L18:L21),"")</f>
        <v>909701.75267991109</v>
      </c>
      <c r="O21" s="2">
        <f>IF(GVA_B_C[[#This Row],[QUARTER]]=4,GVA_B_C[[#This Row],[A_REAL_GVA_2020_2015]]/N17,"")</f>
        <v>1.0445827069892466</v>
      </c>
    </row>
    <row r="22" spans="1:15" x14ac:dyDescent="0.2">
      <c r="A22" s="1" t="s">
        <v>23</v>
      </c>
      <c r="B22" s="3">
        <f t="shared" si="2"/>
        <v>2000</v>
      </c>
      <c r="C22" s="3">
        <f t="shared" si="3"/>
        <v>1</v>
      </c>
      <c r="D22" s="4">
        <v>241076.1</v>
      </c>
      <c r="E22" s="2">
        <f>GVA_B_C[[#This Row],[Q_GVA_2020]]/D21</f>
        <v>0.83975438145488024</v>
      </c>
      <c r="F22" s="4" t="str">
        <f>IF(GVA_B_C[[#This Row],[QUARTER]]=4,SUM(D19:D22),"")</f>
        <v/>
      </c>
      <c r="G22" s="2" t="str">
        <f>IF(GVA_B_C[[#This Row],[QUARTER]]=4,GVA_B_C[[#This Row],[A_GVA_2020]]/F18,"")</f>
        <v/>
      </c>
      <c r="H22" s="4">
        <f t="shared" si="0"/>
        <v>323135.17876518908</v>
      </c>
      <c r="I22" s="2">
        <f>GVA_B_C[[#This Row],[Q_REAL_GVA_2020_2024]]/H21</f>
        <v>0.83975438145488024</v>
      </c>
      <c r="J22" s="4" t="str">
        <f>IF(GVA_B_C[[#This Row],[QUARTER]]=4,SUM(H19:H22),"")</f>
        <v/>
      </c>
      <c r="K22" s="2" t="str">
        <f>IF(GVA_B_C[[#This Row],[QUARTER]]=4,GVA_B_C[[#This Row],[A_REAL_GVA_2020_2024]]/J18,"")</f>
        <v/>
      </c>
      <c r="L22" s="4">
        <f t="shared" si="1"/>
        <v>218210.77608617168</v>
      </c>
      <c r="M22" s="2">
        <f>GVA_B_C[[#This Row],[Q_REAL_GVA_2020_2015]]/L21</f>
        <v>0.83975438145488024</v>
      </c>
      <c r="N22" s="4" t="str">
        <f>IF(GVA_B_C[[#This Row],[QUARTER]]=4,SUM(L19:L22),"")</f>
        <v/>
      </c>
      <c r="O22" s="2" t="str">
        <f>IF(GVA_B_C[[#This Row],[QUARTER]]=4,GVA_B_C[[#This Row],[A_REAL_GVA_2020_2015]]/N18,"")</f>
        <v/>
      </c>
    </row>
    <row r="23" spans="1:15" x14ac:dyDescent="0.2">
      <c r="A23" s="1" t="s">
        <v>24</v>
      </c>
      <c r="B23" s="3">
        <f t="shared" si="2"/>
        <v>2000</v>
      </c>
      <c r="C23" s="3">
        <f t="shared" si="3"/>
        <v>2</v>
      </c>
      <c r="D23" s="4">
        <v>254602.1</v>
      </c>
      <c r="E23" s="2">
        <f>GVA_B_C[[#This Row],[Q_GVA_2020]]/D22</f>
        <v>1.0561067646274351</v>
      </c>
      <c r="F23" s="4" t="str">
        <f>IF(GVA_B_C[[#This Row],[QUARTER]]=4,SUM(D20:D23),"")</f>
        <v/>
      </c>
      <c r="G23" s="2" t="str">
        <f>IF(GVA_B_C[[#This Row],[QUARTER]]=4,GVA_B_C[[#This Row],[A_GVA_2020]]/F19,"")</f>
        <v/>
      </c>
      <c r="H23" s="4">
        <f t="shared" si="0"/>
        <v>341265.24818301172</v>
      </c>
      <c r="I23" s="2">
        <f>GVA_B_C[[#This Row],[Q_REAL_GVA_2020_2024]]/H22</f>
        <v>1.0561067646274351</v>
      </c>
      <c r="J23" s="4" t="str">
        <f>IF(GVA_B_C[[#This Row],[QUARTER]]=4,SUM(H20:H23),"")</f>
        <v/>
      </c>
      <c r="K23" s="2" t="str">
        <f>IF(GVA_B_C[[#This Row],[QUARTER]]=4,GVA_B_C[[#This Row],[A_REAL_GVA_2020_2024]]/J19,"")</f>
        <v/>
      </c>
      <c r="L23" s="4">
        <f t="shared" si="1"/>
        <v>230453.87673920847</v>
      </c>
      <c r="M23" s="2">
        <f>GVA_B_C[[#This Row],[Q_REAL_GVA_2020_2015]]/L22</f>
        <v>1.0561067646274351</v>
      </c>
      <c r="N23" s="4" t="str">
        <f>IF(GVA_B_C[[#This Row],[QUARTER]]=4,SUM(L20:L23),"")</f>
        <v/>
      </c>
      <c r="O23" s="2" t="str">
        <f>IF(GVA_B_C[[#This Row],[QUARTER]]=4,GVA_B_C[[#This Row],[A_REAL_GVA_2020_2015]]/N19,"")</f>
        <v/>
      </c>
    </row>
    <row r="24" spans="1:15" x14ac:dyDescent="0.2">
      <c r="A24" s="1" t="s">
        <v>25</v>
      </c>
      <c r="B24" s="3">
        <f t="shared" si="2"/>
        <v>2000</v>
      </c>
      <c r="C24" s="3">
        <f t="shared" si="3"/>
        <v>3</v>
      </c>
      <c r="D24" s="4">
        <v>255551.6</v>
      </c>
      <c r="E24" s="2">
        <f>GVA_B_C[[#This Row],[Q_GVA_2020]]/D23</f>
        <v>1.0037293486581611</v>
      </c>
      <c r="F24" s="4" t="str">
        <f>IF(GVA_B_C[[#This Row],[QUARTER]]=4,SUM(D21:D24),"")</f>
        <v/>
      </c>
      <c r="G24" s="2" t="str">
        <f>IF(GVA_B_C[[#This Row],[QUARTER]]=4,GVA_B_C[[#This Row],[A_GVA_2020]]/F20,"")</f>
        <v/>
      </c>
      <c r="H24" s="4">
        <f t="shared" si="0"/>
        <v>342537.94527840003</v>
      </c>
      <c r="I24" s="2">
        <f>GVA_B_C[[#This Row],[Q_REAL_GVA_2020_2024]]/H23</f>
        <v>1.0037293486581611</v>
      </c>
      <c r="J24" s="4" t="str">
        <f>IF(GVA_B_C[[#This Row],[QUARTER]]=4,SUM(H21:H24),"")</f>
        <v/>
      </c>
      <c r="K24" s="2" t="str">
        <f>IF(GVA_B_C[[#This Row],[QUARTER]]=4,GVA_B_C[[#This Row],[A_REAL_GVA_2020_2024]]/J20,"")</f>
        <v/>
      </c>
      <c r="L24" s="4">
        <f t="shared" si="1"/>
        <v>231313.31959519387</v>
      </c>
      <c r="M24" s="2">
        <f>GVA_B_C[[#This Row],[Q_REAL_GVA_2020_2015]]/L23</f>
        <v>1.0037293486581611</v>
      </c>
      <c r="N24" s="4" t="str">
        <f>IF(GVA_B_C[[#This Row],[QUARTER]]=4,SUM(L21:L24),"")</f>
        <v/>
      </c>
      <c r="O24" s="2" t="str">
        <f>IF(GVA_B_C[[#This Row],[QUARTER]]=4,GVA_B_C[[#This Row],[A_REAL_GVA_2020_2015]]/N20,"")</f>
        <v/>
      </c>
    </row>
    <row r="25" spans="1:15" x14ac:dyDescent="0.2">
      <c r="A25" s="1" t="s">
        <v>26</v>
      </c>
      <c r="B25" s="3">
        <f t="shared" si="2"/>
        <v>2000</v>
      </c>
      <c r="C25" s="3">
        <f t="shared" si="3"/>
        <v>4</v>
      </c>
      <c r="D25" s="4">
        <v>298209.5</v>
      </c>
      <c r="E25" s="2">
        <f>GVA_B_C[[#This Row],[Q_GVA_2020]]/D24</f>
        <v>1.1669248010969213</v>
      </c>
      <c r="F25" s="4">
        <f>IF(GVA_B_C[[#This Row],[QUARTER]]=4,SUM(D22:D25),"")</f>
        <v>1049439.3</v>
      </c>
      <c r="G25" s="2">
        <f>IF(GVA_B_C[[#This Row],[QUARTER]]=4,GVA_B_C[[#This Row],[A_GVA_2020]]/F21,"")</f>
        <v>1.0441919223327014</v>
      </c>
      <c r="H25" s="4">
        <f t="shared" si="0"/>
        <v>399716.02366214507</v>
      </c>
      <c r="I25" s="2">
        <f>GVA_B_C[[#This Row],[Q_REAL_GVA_2020_2024]]/H24</f>
        <v>1.1669248010969213</v>
      </c>
      <c r="J25" s="4">
        <f>IF(GVA_B_C[[#This Row],[QUARTER]]=4,SUM(H22:H25),"")</f>
        <v>1406654.3958887458</v>
      </c>
      <c r="K25" s="2">
        <f>IF(GVA_B_C[[#This Row],[QUARTER]]=4,GVA_B_C[[#This Row],[A_REAL_GVA_2020_2024]]/J21,"")</f>
        <v>1.0441919223327014</v>
      </c>
      <c r="L25" s="4">
        <f t="shared" si="1"/>
        <v>269925.24945969018</v>
      </c>
      <c r="M25" s="2">
        <f>GVA_B_C[[#This Row],[Q_REAL_GVA_2020_2015]]/L24</f>
        <v>1.1669248010969213</v>
      </c>
      <c r="N25" s="4">
        <f>IF(GVA_B_C[[#This Row],[QUARTER]]=4,SUM(L22:L25),"")</f>
        <v>949903.22188026423</v>
      </c>
      <c r="O25" s="2">
        <f>IF(GVA_B_C[[#This Row],[QUARTER]]=4,GVA_B_C[[#This Row],[A_REAL_GVA_2020_2015]]/N21,"")</f>
        <v>1.0441919223327016</v>
      </c>
    </row>
    <row r="26" spans="1:15" x14ac:dyDescent="0.2">
      <c r="A26" s="1" t="s">
        <v>27</v>
      </c>
      <c r="B26" s="3">
        <f t="shared" si="2"/>
        <v>2001</v>
      </c>
      <c r="C26" s="3">
        <f t="shared" si="3"/>
        <v>1</v>
      </c>
      <c r="D26" s="4">
        <v>248955</v>
      </c>
      <c r="E26" s="2">
        <f>GVA_B_C[[#This Row],[Q_GVA_2020]]/D25</f>
        <v>0.83483255898956943</v>
      </c>
      <c r="F26" s="4" t="str">
        <f>IF(GVA_B_C[[#This Row],[QUARTER]]=4,SUM(D23:D26),"")</f>
        <v/>
      </c>
      <c r="G26" s="2" t="str">
        <f>IF(GVA_B_C[[#This Row],[QUARTER]]=4,GVA_B_C[[#This Row],[A_GVA_2020]]/F22,"")</f>
        <v/>
      </c>
      <c r="H26" s="4">
        <f t="shared" si="0"/>
        <v>333695.95090300386</v>
      </c>
      <c r="I26" s="2">
        <f>GVA_B_C[[#This Row],[Q_REAL_GVA_2020_2024]]/H25</f>
        <v>0.83483255898956943</v>
      </c>
      <c r="J26" s="4" t="str">
        <f>IF(GVA_B_C[[#This Row],[QUARTER]]=4,SUM(H23:H26),"")</f>
        <v/>
      </c>
      <c r="K26" s="2" t="str">
        <f>IF(GVA_B_C[[#This Row],[QUARTER]]=4,GVA_B_C[[#This Row],[A_REAL_GVA_2020_2024]]/J22,"")</f>
        <v/>
      </c>
      <c r="L26" s="4">
        <f t="shared" si="1"/>
        <v>225342.38674233103</v>
      </c>
      <c r="M26" s="2">
        <f>GVA_B_C[[#This Row],[Q_REAL_GVA_2020_2015]]/L25</f>
        <v>0.83483255898956932</v>
      </c>
      <c r="N26" s="4" t="str">
        <f>IF(GVA_B_C[[#This Row],[QUARTER]]=4,SUM(L23:L26),"")</f>
        <v/>
      </c>
      <c r="O26" s="2" t="str">
        <f>IF(GVA_B_C[[#This Row],[QUARTER]]=4,GVA_B_C[[#This Row],[A_REAL_GVA_2020_2015]]/N22,"")</f>
        <v/>
      </c>
    </row>
    <row r="27" spans="1:15" x14ac:dyDescent="0.2">
      <c r="A27" s="1" t="s">
        <v>28</v>
      </c>
      <c r="B27" s="3">
        <f t="shared" si="2"/>
        <v>2001</v>
      </c>
      <c r="C27" s="3">
        <f t="shared" si="3"/>
        <v>2</v>
      </c>
      <c r="D27" s="4">
        <v>255943.8</v>
      </c>
      <c r="E27" s="2">
        <f>GVA_B_C[[#This Row],[Q_GVA_2020]]/D26</f>
        <v>1.0280725432307043</v>
      </c>
      <c r="F27" s="4" t="str">
        <f>IF(GVA_B_C[[#This Row],[QUARTER]]=4,SUM(D24:D27),"")</f>
        <v/>
      </c>
      <c r="G27" s="2" t="str">
        <f>IF(GVA_B_C[[#This Row],[QUARTER]]=4,GVA_B_C[[#This Row],[A_GVA_2020]]/F23,"")</f>
        <v/>
      </c>
      <c r="H27" s="4">
        <f t="shared" si="0"/>
        <v>343063.64491063938</v>
      </c>
      <c r="I27" s="2">
        <f>GVA_B_C[[#This Row],[Q_REAL_GVA_2020_2024]]/H26</f>
        <v>1.0280725432307043</v>
      </c>
      <c r="J27" s="4" t="str">
        <f>IF(GVA_B_C[[#This Row],[QUARTER]]=4,SUM(H24:H27),"")</f>
        <v/>
      </c>
      <c r="K27" s="2" t="str">
        <f>IF(GVA_B_C[[#This Row],[QUARTER]]=4,GVA_B_C[[#This Row],[A_REAL_GVA_2020_2024]]/J23,"")</f>
        <v/>
      </c>
      <c r="L27" s="4">
        <f t="shared" si="1"/>
        <v>231668.32063586521</v>
      </c>
      <c r="M27" s="2">
        <f>GVA_B_C[[#This Row],[Q_REAL_GVA_2020_2015]]/L26</f>
        <v>1.0280725432307043</v>
      </c>
      <c r="N27" s="4" t="str">
        <f>IF(GVA_B_C[[#This Row],[QUARTER]]=4,SUM(L24:L27),"")</f>
        <v/>
      </c>
      <c r="O27" s="2" t="str">
        <f>IF(GVA_B_C[[#This Row],[QUARTER]]=4,GVA_B_C[[#This Row],[A_REAL_GVA_2020_2015]]/N23,"")</f>
        <v/>
      </c>
    </row>
    <row r="28" spans="1:15" x14ac:dyDescent="0.2">
      <c r="A28" s="1" t="s">
        <v>29</v>
      </c>
      <c r="B28" s="3">
        <f t="shared" si="2"/>
        <v>2001</v>
      </c>
      <c r="C28" s="3">
        <f t="shared" si="3"/>
        <v>3</v>
      </c>
      <c r="D28" s="4">
        <v>261249.3</v>
      </c>
      <c r="E28" s="2">
        <f>GVA_B_C[[#This Row],[Q_GVA_2020]]/D27</f>
        <v>1.0207291600734223</v>
      </c>
      <c r="F28" s="4" t="str">
        <f>IF(GVA_B_C[[#This Row],[QUARTER]]=4,SUM(D25:D28),"")</f>
        <v/>
      </c>
      <c r="G28" s="2" t="str">
        <f>IF(GVA_B_C[[#This Row],[QUARTER]]=4,GVA_B_C[[#This Row],[A_GVA_2020]]/F24,"")</f>
        <v/>
      </c>
      <c r="H28" s="4">
        <f t="shared" si="0"/>
        <v>350175.06612136372</v>
      </c>
      <c r="I28" s="2">
        <f>GVA_B_C[[#This Row],[Q_REAL_GVA_2020_2024]]/H27</f>
        <v>1.0207291600734223</v>
      </c>
      <c r="J28" s="4" t="str">
        <f>IF(GVA_B_C[[#This Row],[QUARTER]]=4,SUM(H25:H28),"")</f>
        <v/>
      </c>
      <c r="K28" s="2" t="str">
        <f>IF(GVA_B_C[[#This Row],[QUARTER]]=4,GVA_B_C[[#This Row],[A_REAL_GVA_2020_2024]]/J24,"")</f>
        <v/>
      </c>
      <c r="L28" s="4">
        <f t="shared" si="1"/>
        <v>236470.61033826697</v>
      </c>
      <c r="M28" s="2">
        <f>GVA_B_C[[#This Row],[Q_REAL_GVA_2020_2015]]/L27</f>
        <v>1.0207291600734223</v>
      </c>
      <c r="N28" s="4" t="str">
        <f>IF(GVA_B_C[[#This Row],[QUARTER]]=4,SUM(L25:L28),"")</f>
        <v/>
      </c>
      <c r="O28" s="2" t="str">
        <f>IF(GVA_B_C[[#This Row],[QUARTER]]=4,GVA_B_C[[#This Row],[A_REAL_GVA_2020_2015]]/N24,"")</f>
        <v/>
      </c>
    </row>
    <row r="29" spans="1:15" x14ac:dyDescent="0.2">
      <c r="A29" s="1" t="s">
        <v>30</v>
      </c>
      <c r="B29" s="3">
        <f t="shared" si="2"/>
        <v>2001</v>
      </c>
      <c r="C29" s="3">
        <f t="shared" si="3"/>
        <v>4</v>
      </c>
      <c r="D29" s="4">
        <v>297257.2</v>
      </c>
      <c r="E29" s="2">
        <f>GVA_B_C[[#This Row],[Q_GVA_2020]]/D28</f>
        <v>1.1378296516009805</v>
      </c>
      <c r="F29" s="4">
        <f>IF(GVA_B_C[[#This Row],[QUARTER]]=4,SUM(D26:D29),"")</f>
        <v>1063405.3</v>
      </c>
      <c r="G29" s="2">
        <f>IF(GVA_B_C[[#This Row],[QUARTER]]=4,GVA_B_C[[#This Row],[A_GVA_2020]]/F25,"")</f>
        <v>1.0133080588843966</v>
      </c>
      <c r="H29" s="4">
        <f t="shared" si="0"/>
        <v>398439.57348422159</v>
      </c>
      <c r="I29" s="2">
        <f>GVA_B_C[[#This Row],[Q_REAL_GVA_2020_2024]]/H28</f>
        <v>1.1378296516009805</v>
      </c>
      <c r="J29" s="4">
        <f>IF(GVA_B_C[[#This Row],[QUARTER]]=4,SUM(H26:H29),"")</f>
        <v>1425374.2354192287</v>
      </c>
      <c r="K29" s="2">
        <f>IF(GVA_B_C[[#This Row],[QUARTER]]=4,GVA_B_C[[#This Row],[A_REAL_GVA_2020_2024]]/J25,"")</f>
        <v>1.0133080588843968</v>
      </c>
      <c r="L29" s="4">
        <f t="shared" si="1"/>
        <v>269063.27217506152</v>
      </c>
      <c r="M29" s="2">
        <f>GVA_B_C[[#This Row],[Q_REAL_GVA_2020_2015]]/L28</f>
        <v>1.1378296516009805</v>
      </c>
      <c r="N29" s="4">
        <f>IF(GVA_B_C[[#This Row],[QUARTER]]=4,SUM(L26:L29),"")</f>
        <v>962544.58989152475</v>
      </c>
      <c r="O29" s="2">
        <f>IF(GVA_B_C[[#This Row],[QUARTER]]=4,GVA_B_C[[#This Row],[A_REAL_GVA_2020_2015]]/N25,"")</f>
        <v>1.0133080588843966</v>
      </c>
    </row>
    <row r="30" spans="1:15" x14ac:dyDescent="0.2">
      <c r="A30" s="1" t="s">
        <v>31</v>
      </c>
      <c r="B30" s="3">
        <f t="shared" si="2"/>
        <v>2002</v>
      </c>
      <c r="C30" s="3">
        <f t="shared" si="3"/>
        <v>1</v>
      </c>
      <c r="D30" s="4">
        <v>253144.1</v>
      </c>
      <c r="E30" s="2">
        <f>GVA_B_C[[#This Row],[Q_GVA_2020]]/D29</f>
        <v>0.85159955755487171</v>
      </c>
      <c r="F30" s="4" t="str">
        <f>IF(GVA_B_C[[#This Row],[QUARTER]]=4,SUM(D27:D30),"")</f>
        <v/>
      </c>
      <c r="G30" s="2" t="str">
        <f>IF(GVA_B_C[[#This Row],[QUARTER]]=4,GVA_B_C[[#This Row],[A_GVA_2020]]/F26,"")</f>
        <v/>
      </c>
      <c r="H30" s="4">
        <f t="shared" si="0"/>
        <v>339310.9644915149</v>
      </c>
      <c r="I30" s="2">
        <f>GVA_B_C[[#This Row],[Q_REAL_GVA_2020_2024]]/H29</f>
        <v>0.85159955755487171</v>
      </c>
      <c r="J30" s="4" t="str">
        <f>IF(GVA_B_C[[#This Row],[QUARTER]]=4,SUM(H27:H30),"")</f>
        <v/>
      </c>
      <c r="K30" s="2" t="str">
        <f>IF(GVA_B_C[[#This Row],[QUARTER]]=4,GVA_B_C[[#This Row],[A_REAL_GVA_2020_2024]]/J26,"")</f>
        <v/>
      </c>
      <c r="L30" s="4">
        <f t="shared" si="1"/>
        <v>229134.1635385484</v>
      </c>
      <c r="M30" s="2">
        <f>GVA_B_C[[#This Row],[Q_REAL_GVA_2020_2015]]/L29</f>
        <v>0.8515995575548716</v>
      </c>
      <c r="N30" s="4" t="str">
        <f>IF(GVA_B_C[[#This Row],[QUARTER]]=4,SUM(L27:L30),"")</f>
        <v/>
      </c>
      <c r="O30" s="2" t="str">
        <f>IF(GVA_B_C[[#This Row],[QUARTER]]=4,GVA_B_C[[#This Row],[A_REAL_GVA_2020_2015]]/N26,"")</f>
        <v/>
      </c>
    </row>
    <row r="31" spans="1:15" x14ac:dyDescent="0.2">
      <c r="A31" s="1" t="s">
        <v>32</v>
      </c>
      <c r="B31" s="3">
        <f t="shared" si="2"/>
        <v>2002</v>
      </c>
      <c r="C31" s="3">
        <f t="shared" si="3"/>
        <v>2</v>
      </c>
      <c r="D31" s="4">
        <v>261965.5</v>
      </c>
      <c r="E31" s="2">
        <f>GVA_B_C[[#This Row],[Q_GVA_2020]]/D30</f>
        <v>1.0348473458397807</v>
      </c>
      <c r="F31" s="4" t="str">
        <f>IF(GVA_B_C[[#This Row],[QUARTER]]=4,SUM(D28:D31),"")</f>
        <v/>
      </c>
      <c r="G31" s="2" t="str">
        <f>IF(GVA_B_C[[#This Row],[QUARTER]]=4,GVA_B_C[[#This Row],[A_GVA_2020]]/F27,"")</f>
        <v/>
      </c>
      <c r="H31" s="4">
        <f t="shared" si="0"/>
        <v>351135.05101838027</v>
      </c>
      <c r="I31" s="2">
        <f>GVA_B_C[[#This Row],[Q_REAL_GVA_2020_2024]]/H30</f>
        <v>1.0348473458397807</v>
      </c>
      <c r="J31" s="4" t="str">
        <f>IF(GVA_B_C[[#This Row],[QUARTER]]=4,SUM(H28:H31),"")</f>
        <v/>
      </c>
      <c r="K31" s="2" t="str">
        <f>IF(GVA_B_C[[#This Row],[QUARTER]]=4,GVA_B_C[[#This Row],[A_REAL_GVA_2020_2024]]/J27,"")</f>
        <v/>
      </c>
      <c r="L31" s="4">
        <f t="shared" si="1"/>
        <v>237118.88097908505</v>
      </c>
      <c r="M31" s="2">
        <f>GVA_B_C[[#This Row],[Q_REAL_GVA_2020_2015]]/L30</f>
        <v>1.0348473458397807</v>
      </c>
      <c r="N31" s="4" t="str">
        <f>IF(GVA_B_C[[#This Row],[QUARTER]]=4,SUM(L28:L31),"")</f>
        <v/>
      </c>
      <c r="O31" s="2" t="str">
        <f>IF(GVA_B_C[[#This Row],[QUARTER]]=4,GVA_B_C[[#This Row],[A_REAL_GVA_2020_2015]]/N27,"")</f>
        <v/>
      </c>
    </row>
    <row r="32" spans="1:15" x14ac:dyDescent="0.2">
      <c r="A32" s="1" t="s">
        <v>33</v>
      </c>
      <c r="B32" s="3">
        <f t="shared" si="2"/>
        <v>2002</v>
      </c>
      <c r="C32" s="3">
        <f t="shared" si="3"/>
        <v>3</v>
      </c>
      <c r="D32" s="4">
        <v>267070.7</v>
      </c>
      <c r="E32" s="2">
        <f>GVA_B_C[[#This Row],[Q_GVA_2020]]/D31</f>
        <v>1.0194880623593565</v>
      </c>
      <c r="F32" s="4" t="str">
        <f>IF(GVA_B_C[[#This Row],[QUARTER]]=4,SUM(D29:D32),"")</f>
        <v/>
      </c>
      <c r="G32" s="2" t="str">
        <f>IF(GVA_B_C[[#This Row],[QUARTER]]=4,GVA_B_C[[#This Row],[A_GVA_2020]]/F28,"")</f>
        <v/>
      </c>
      <c r="H32" s="4">
        <f t="shared" si="0"/>
        <v>357977.99278918229</v>
      </c>
      <c r="I32" s="2">
        <f>GVA_B_C[[#This Row],[Q_REAL_GVA_2020_2024]]/H31</f>
        <v>1.0194880623593565</v>
      </c>
      <c r="J32" s="4" t="str">
        <f>IF(GVA_B_C[[#This Row],[QUARTER]]=4,SUM(H29:H32),"")</f>
        <v/>
      </c>
      <c r="K32" s="2" t="str">
        <f>IF(GVA_B_C[[#This Row],[QUARTER]]=4,GVA_B_C[[#This Row],[A_REAL_GVA_2020_2024]]/J28,"")</f>
        <v/>
      </c>
      <c r="L32" s="4">
        <f t="shared" si="1"/>
        <v>241739.8685181863</v>
      </c>
      <c r="M32" s="2">
        <f>GVA_B_C[[#This Row],[Q_REAL_GVA_2020_2015]]/L31</f>
        <v>1.0194880623593565</v>
      </c>
      <c r="N32" s="4" t="str">
        <f>IF(GVA_B_C[[#This Row],[QUARTER]]=4,SUM(L29:L32),"")</f>
        <v/>
      </c>
      <c r="O32" s="2" t="str">
        <f>IF(GVA_B_C[[#This Row],[QUARTER]]=4,GVA_B_C[[#This Row],[A_REAL_GVA_2020_2015]]/N28,"")</f>
        <v/>
      </c>
    </row>
    <row r="33" spans="1:15" x14ac:dyDescent="0.2">
      <c r="A33" s="1" t="s">
        <v>34</v>
      </c>
      <c r="B33" s="3">
        <f t="shared" si="2"/>
        <v>2002</v>
      </c>
      <c r="C33" s="3">
        <f t="shared" si="3"/>
        <v>4</v>
      </c>
      <c r="D33" s="4">
        <v>300537</v>
      </c>
      <c r="E33" s="2">
        <f>GVA_B_C[[#This Row],[Q_GVA_2020]]/D32</f>
        <v>1.1253087665550732</v>
      </c>
      <c r="F33" s="4">
        <f>IF(GVA_B_C[[#This Row],[QUARTER]]=4,SUM(D30:D33),"")</f>
        <v>1082717.3</v>
      </c>
      <c r="G33" s="2">
        <f>IF(GVA_B_C[[#This Row],[QUARTER]]=4,GVA_B_C[[#This Row],[A_GVA_2020]]/F29,"")</f>
        <v>1.0181605263769138</v>
      </c>
      <c r="H33" s="4">
        <f t="shared" si="0"/>
        <v>402835.77351945557</v>
      </c>
      <c r="I33" s="2">
        <f>GVA_B_C[[#This Row],[Q_REAL_GVA_2020_2024]]/H32</f>
        <v>1.1253087665550732</v>
      </c>
      <c r="J33" s="4">
        <f>IF(GVA_B_C[[#This Row],[QUARTER]]=4,SUM(H30:H33),"")</f>
        <v>1451259.7818185329</v>
      </c>
      <c r="K33" s="2">
        <f>IF(GVA_B_C[[#This Row],[QUARTER]]=4,GVA_B_C[[#This Row],[A_REAL_GVA_2020_2024]]/J29,"")</f>
        <v>1.0181605263769138</v>
      </c>
      <c r="L33" s="4">
        <f t="shared" si="1"/>
        <v>272031.99326938577</v>
      </c>
      <c r="M33" s="2">
        <f>GVA_B_C[[#This Row],[Q_REAL_GVA_2020_2015]]/L32</f>
        <v>1.1253087665550732</v>
      </c>
      <c r="N33" s="4">
        <f>IF(GVA_B_C[[#This Row],[QUARTER]]=4,SUM(L30:L33),"")</f>
        <v>980024.90630520554</v>
      </c>
      <c r="O33" s="2">
        <f>IF(GVA_B_C[[#This Row],[QUARTER]]=4,GVA_B_C[[#This Row],[A_REAL_GVA_2020_2015]]/N29,"")</f>
        <v>1.0181605263769138</v>
      </c>
    </row>
    <row r="34" spans="1:15" x14ac:dyDescent="0.2">
      <c r="A34" s="1" t="s">
        <v>35</v>
      </c>
      <c r="B34" s="3">
        <f t="shared" si="2"/>
        <v>2003</v>
      </c>
      <c r="C34" s="3">
        <f t="shared" si="3"/>
        <v>1</v>
      </c>
      <c r="D34" s="4">
        <v>259285.7</v>
      </c>
      <c r="E34" s="2">
        <f>GVA_B_C[[#This Row],[Q_GVA_2020]]/D33</f>
        <v>0.86274135963292375</v>
      </c>
      <c r="F34" s="4" t="str">
        <f>IF(GVA_B_C[[#This Row],[QUARTER]]=4,SUM(D31:D34),"")</f>
        <v/>
      </c>
      <c r="G34" s="2" t="str">
        <f>IF(GVA_B_C[[#This Row],[QUARTER]]=4,GVA_B_C[[#This Row],[A_GVA_2020]]/F30,"")</f>
        <v/>
      </c>
      <c r="H34" s="4">
        <f t="shared" si="0"/>
        <v>347543.08295495564</v>
      </c>
      <c r="I34" s="2">
        <f>GVA_B_C[[#This Row],[Q_REAL_GVA_2020_2024]]/H33</f>
        <v>0.86274135963292375</v>
      </c>
      <c r="J34" s="4" t="str">
        <f>IF(GVA_B_C[[#This Row],[QUARTER]]=4,SUM(H31:H34),"")</f>
        <v/>
      </c>
      <c r="K34" s="2" t="str">
        <f>IF(GVA_B_C[[#This Row],[QUARTER]]=4,GVA_B_C[[#This Row],[A_REAL_GVA_2020_2024]]/J30,"")</f>
        <v/>
      </c>
      <c r="L34" s="4">
        <f t="shared" si="1"/>
        <v>234693.25173688427</v>
      </c>
      <c r="M34" s="2">
        <f>GVA_B_C[[#This Row],[Q_REAL_GVA_2020_2015]]/L33</f>
        <v>0.86274135963292387</v>
      </c>
      <c r="N34" s="4" t="str">
        <f>IF(GVA_B_C[[#This Row],[QUARTER]]=4,SUM(L31:L34),"")</f>
        <v/>
      </c>
      <c r="O34" s="2" t="str">
        <f>IF(GVA_B_C[[#This Row],[QUARTER]]=4,GVA_B_C[[#This Row],[A_REAL_GVA_2020_2015]]/N30,"")</f>
        <v/>
      </c>
    </row>
    <row r="35" spans="1:15" x14ac:dyDescent="0.2">
      <c r="A35" s="1" t="s">
        <v>36</v>
      </c>
      <c r="B35" s="3">
        <f t="shared" si="2"/>
        <v>2003</v>
      </c>
      <c r="C35" s="3">
        <f t="shared" si="3"/>
        <v>2</v>
      </c>
      <c r="D35" s="4">
        <v>270154.7</v>
      </c>
      <c r="E35" s="2">
        <f>GVA_B_C[[#This Row],[Q_GVA_2020]]/D34</f>
        <v>1.0419190105740501</v>
      </c>
      <c r="F35" s="4" t="str">
        <f>IF(GVA_B_C[[#This Row],[QUARTER]]=4,SUM(D32:D35),"")</f>
        <v/>
      </c>
      <c r="G35" s="2" t="str">
        <f>IF(GVA_B_C[[#This Row],[QUARTER]]=4,GVA_B_C[[#This Row],[A_GVA_2020]]/F31,"")</f>
        <v/>
      </c>
      <c r="H35" s="4">
        <f t="shared" si="0"/>
        <v>362111.74512428237</v>
      </c>
      <c r="I35" s="2">
        <f>GVA_B_C[[#This Row],[Q_REAL_GVA_2020_2024]]/H34</f>
        <v>1.0419190105740501</v>
      </c>
      <c r="J35" s="4" t="str">
        <f>IF(GVA_B_C[[#This Row],[QUARTER]]=4,SUM(H32:H35),"")</f>
        <v/>
      </c>
      <c r="K35" s="2" t="str">
        <f>IF(GVA_B_C[[#This Row],[QUARTER]]=4,GVA_B_C[[#This Row],[A_REAL_GVA_2020_2024]]/J31,"")</f>
        <v/>
      </c>
      <c r="L35" s="4">
        <f t="shared" si="1"/>
        <v>244531.36063810092</v>
      </c>
      <c r="M35" s="2">
        <f>GVA_B_C[[#This Row],[Q_REAL_GVA_2020_2015]]/L34</f>
        <v>1.0419190105740501</v>
      </c>
      <c r="N35" s="4" t="str">
        <f>IF(GVA_B_C[[#This Row],[QUARTER]]=4,SUM(L32:L35),"")</f>
        <v/>
      </c>
      <c r="O35" s="2" t="str">
        <f>IF(GVA_B_C[[#This Row],[QUARTER]]=4,GVA_B_C[[#This Row],[A_REAL_GVA_2020_2015]]/N31,"")</f>
        <v/>
      </c>
    </row>
    <row r="36" spans="1:15" x14ac:dyDescent="0.2">
      <c r="A36" s="1" t="s">
        <v>37</v>
      </c>
      <c r="B36" s="3">
        <f t="shared" si="2"/>
        <v>2003</v>
      </c>
      <c r="C36" s="3">
        <f t="shared" si="3"/>
        <v>3</v>
      </c>
      <c r="D36" s="4">
        <v>277745.3</v>
      </c>
      <c r="E36" s="2">
        <f>GVA_B_C[[#This Row],[Q_GVA_2020]]/D35</f>
        <v>1.0280972346585122</v>
      </c>
      <c r="F36" s="4" t="str">
        <f>IF(GVA_B_C[[#This Row],[QUARTER]]=4,SUM(D33:D36),"")</f>
        <v/>
      </c>
      <c r="G36" s="2" t="str">
        <f>IF(GVA_B_C[[#This Row],[QUARTER]]=4,GVA_B_C[[#This Row],[A_GVA_2020]]/F32,"")</f>
        <v/>
      </c>
      <c r="H36" s="4">
        <f t="shared" si="0"/>
        <v>372286.08379964269</v>
      </c>
      <c r="I36" s="2">
        <f>GVA_B_C[[#This Row],[Q_REAL_GVA_2020_2024]]/H35</f>
        <v>1.0280972346585122</v>
      </c>
      <c r="J36" s="4" t="str">
        <f>IF(GVA_B_C[[#This Row],[QUARTER]]=4,SUM(H33:H36),"")</f>
        <v/>
      </c>
      <c r="K36" s="2" t="str">
        <f>IF(GVA_B_C[[#This Row],[QUARTER]]=4,GVA_B_C[[#This Row],[A_REAL_GVA_2020_2024]]/J32,"")</f>
        <v/>
      </c>
      <c r="L36" s="4">
        <f t="shared" si="1"/>
        <v>251402.01565931493</v>
      </c>
      <c r="M36" s="2">
        <f>GVA_B_C[[#This Row],[Q_REAL_GVA_2020_2015]]/L35</f>
        <v>1.0280972346585122</v>
      </c>
      <c r="N36" s="4" t="str">
        <f>IF(GVA_B_C[[#This Row],[QUARTER]]=4,SUM(L33:L36),"")</f>
        <v/>
      </c>
      <c r="O36" s="2" t="str">
        <f>IF(GVA_B_C[[#This Row],[QUARTER]]=4,GVA_B_C[[#This Row],[A_REAL_GVA_2020_2015]]/N32,"")</f>
        <v/>
      </c>
    </row>
    <row r="37" spans="1:15" x14ac:dyDescent="0.2">
      <c r="A37" s="1" t="s">
        <v>38</v>
      </c>
      <c r="B37" s="3">
        <f t="shared" si="2"/>
        <v>2003</v>
      </c>
      <c r="C37" s="3">
        <f t="shared" si="3"/>
        <v>4</v>
      </c>
      <c r="D37" s="4">
        <v>311722.7</v>
      </c>
      <c r="E37" s="2">
        <f>GVA_B_C[[#This Row],[Q_GVA_2020]]/D36</f>
        <v>1.1223329431677154</v>
      </c>
      <c r="F37" s="4">
        <f>IF(GVA_B_C[[#This Row],[QUARTER]]=4,SUM(D34:D37),"")</f>
        <v>1118908.3999999999</v>
      </c>
      <c r="G37" s="2">
        <f>IF(GVA_B_C[[#This Row],[QUARTER]]=4,GVA_B_C[[#This Row],[A_GVA_2020]]/F33,"")</f>
        <v>1.0334261768976998</v>
      </c>
      <c r="H37" s="4">
        <f t="shared" si="0"/>
        <v>417828.93613123568</v>
      </c>
      <c r="I37" s="2">
        <f>GVA_B_C[[#This Row],[Q_REAL_GVA_2020_2024]]/H36</f>
        <v>1.1223329431677154</v>
      </c>
      <c r="J37" s="4">
        <f>IF(GVA_B_C[[#This Row],[QUARTER]]=4,SUM(H34:H37),"")</f>
        <v>1499769.8480101165</v>
      </c>
      <c r="K37" s="2">
        <f>IF(GVA_B_C[[#This Row],[QUARTER]]=4,GVA_B_C[[#This Row],[A_REAL_GVA_2020_2024]]/J33,"")</f>
        <v>1.0334261768977</v>
      </c>
      <c r="L37" s="4">
        <f t="shared" si="1"/>
        <v>282156.76415321499</v>
      </c>
      <c r="M37" s="2">
        <f>GVA_B_C[[#This Row],[Q_REAL_GVA_2020_2015]]/L36</f>
        <v>1.1223329431677154</v>
      </c>
      <c r="N37" s="4">
        <f>IF(GVA_B_C[[#This Row],[QUARTER]]=4,SUM(L34:L37),"")</f>
        <v>1012783.3921875152</v>
      </c>
      <c r="O37" s="2">
        <f>IF(GVA_B_C[[#This Row],[QUARTER]]=4,GVA_B_C[[#This Row],[A_REAL_GVA_2020_2015]]/N33,"")</f>
        <v>1.0334261768977</v>
      </c>
    </row>
    <row r="38" spans="1:15" x14ac:dyDescent="0.2">
      <c r="A38" s="1" t="s">
        <v>39</v>
      </c>
      <c r="B38" s="3">
        <f t="shared" si="2"/>
        <v>2004</v>
      </c>
      <c r="C38" s="3">
        <f t="shared" si="3"/>
        <v>1</v>
      </c>
      <c r="D38" s="4">
        <v>276308</v>
      </c>
      <c r="E38" s="2">
        <f>GVA_B_C[[#This Row],[Q_GVA_2020]]/D37</f>
        <v>0.88639037195558745</v>
      </c>
      <c r="F38" s="4" t="str">
        <f>IF(GVA_B_C[[#This Row],[QUARTER]]=4,SUM(D35:D38),"")</f>
        <v/>
      </c>
      <c r="G38" s="2" t="str">
        <f>IF(GVA_B_C[[#This Row],[QUARTER]]=4,GVA_B_C[[#This Row],[A_GVA_2020]]/F34,"")</f>
        <v/>
      </c>
      <c r="H38" s="4">
        <f t="shared" si="0"/>
        <v>370359.5461111734</v>
      </c>
      <c r="I38" s="2">
        <f>GVA_B_C[[#This Row],[Q_REAL_GVA_2020_2024]]/H37</f>
        <v>0.88639037195558745</v>
      </c>
      <c r="J38" s="4" t="str">
        <f>IF(GVA_B_C[[#This Row],[QUARTER]]=4,SUM(H35:H38),"")</f>
        <v/>
      </c>
      <c r="K38" s="2" t="str">
        <f>IF(GVA_B_C[[#This Row],[QUARTER]]=4,GVA_B_C[[#This Row],[A_REAL_GVA_2020_2024]]/J34,"")</f>
        <v/>
      </c>
      <c r="L38" s="4">
        <f t="shared" si="1"/>
        <v>250101.0391275532</v>
      </c>
      <c r="M38" s="2">
        <f>GVA_B_C[[#This Row],[Q_REAL_GVA_2020_2015]]/L37</f>
        <v>0.88639037195558745</v>
      </c>
      <c r="N38" s="4" t="str">
        <f>IF(GVA_B_C[[#This Row],[QUARTER]]=4,SUM(L35:L38),"")</f>
        <v/>
      </c>
      <c r="O38" s="2" t="str">
        <f>IF(GVA_B_C[[#This Row],[QUARTER]]=4,GVA_B_C[[#This Row],[A_REAL_GVA_2020_2015]]/N34,"")</f>
        <v/>
      </c>
    </row>
    <row r="39" spans="1:15" x14ac:dyDescent="0.2">
      <c r="A39" s="1" t="s">
        <v>40</v>
      </c>
      <c r="B39" s="3">
        <f t="shared" si="2"/>
        <v>2004</v>
      </c>
      <c r="C39" s="3">
        <f t="shared" si="3"/>
        <v>2</v>
      </c>
      <c r="D39" s="4">
        <v>287892.8</v>
      </c>
      <c r="E39" s="2">
        <f>GVA_B_C[[#This Row],[Q_GVA_2020]]/D38</f>
        <v>1.0419271248027564</v>
      </c>
      <c r="F39" s="4" t="str">
        <f>IF(GVA_B_C[[#This Row],[QUARTER]]=4,SUM(D36:D39),"")</f>
        <v/>
      </c>
      <c r="G39" s="2" t="str">
        <f>IF(GVA_B_C[[#This Row],[QUARTER]]=4,GVA_B_C[[#This Row],[A_GVA_2020]]/F35,"")</f>
        <v/>
      </c>
      <c r="H39" s="4">
        <f t="shared" si="0"/>
        <v>385887.65702286881</v>
      </c>
      <c r="I39" s="2">
        <f>GVA_B_C[[#This Row],[Q_REAL_GVA_2020_2024]]/H38</f>
        <v>1.0419271248027564</v>
      </c>
      <c r="J39" s="4" t="str">
        <f>IF(GVA_B_C[[#This Row],[QUARTER]]=4,SUM(H36:H39),"")</f>
        <v/>
      </c>
      <c r="K39" s="2" t="str">
        <f>IF(GVA_B_C[[#This Row],[QUARTER]]=4,GVA_B_C[[#This Row],[A_REAL_GVA_2020_2024]]/J35,"")</f>
        <v/>
      </c>
      <c r="L39" s="4">
        <f t="shared" si="1"/>
        <v>260587.05660835319</v>
      </c>
      <c r="M39" s="2">
        <f>GVA_B_C[[#This Row],[Q_REAL_GVA_2020_2015]]/L38</f>
        <v>1.0419271248027564</v>
      </c>
      <c r="N39" s="4" t="str">
        <f>IF(GVA_B_C[[#This Row],[QUARTER]]=4,SUM(L36:L39),"")</f>
        <v/>
      </c>
      <c r="O39" s="2" t="str">
        <f>IF(GVA_B_C[[#This Row],[QUARTER]]=4,GVA_B_C[[#This Row],[A_REAL_GVA_2020_2015]]/N35,"")</f>
        <v/>
      </c>
    </row>
    <row r="40" spans="1:15" x14ac:dyDescent="0.2">
      <c r="A40" s="1" t="s">
        <v>41</v>
      </c>
      <c r="B40" s="3">
        <f t="shared" si="2"/>
        <v>2004</v>
      </c>
      <c r="C40" s="3">
        <f t="shared" si="3"/>
        <v>3</v>
      </c>
      <c r="D40" s="4">
        <v>287354.5</v>
      </c>
      <c r="E40" s="2">
        <f>GVA_B_C[[#This Row],[Q_GVA_2020]]/D39</f>
        <v>0.99813020679919751</v>
      </c>
      <c r="F40" s="4" t="str">
        <f>IF(GVA_B_C[[#This Row],[QUARTER]]=4,SUM(D37:D40),"")</f>
        <v/>
      </c>
      <c r="G40" s="2" t="str">
        <f>IF(GVA_B_C[[#This Row],[QUARTER]]=4,GVA_B_C[[#This Row],[A_GVA_2020]]/F36,"")</f>
        <v/>
      </c>
      <c r="H40" s="4">
        <f t="shared" si="0"/>
        <v>385166.12690549385</v>
      </c>
      <c r="I40" s="2">
        <f>GVA_B_C[[#This Row],[Q_REAL_GVA_2020_2024]]/H39</f>
        <v>0.99813020679919751</v>
      </c>
      <c r="J40" s="4" t="str">
        <f>IF(GVA_B_C[[#This Row],[QUARTER]]=4,SUM(H37:H40),"")</f>
        <v/>
      </c>
      <c r="K40" s="2" t="str">
        <f>IF(GVA_B_C[[#This Row],[QUARTER]]=4,GVA_B_C[[#This Row],[A_REAL_GVA_2020_2024]]/J36,"")</f>
        <v/>
      </c>
      <c r="L40" s="4">
        <f t="shared" si="1"/>
        <v>260099.81270168975</v>
      </c>
      <c r="M40" s="2">
        <f>GVA_B_C[[#This Row],[Q_REAL_GVA_2020_2015]]/L39</f>
        <v>0.99813020679919751</v>
      </c>
      <c r="N40" s="4" t="str">
        <f>IF(GVA_B_C[[#This Row],[QUARTER]]=4,SUM(L37:L40),"")</f>
        <v/>
      </c>
      <c r="O40" s="2" t="str">
        <f>IF(GVA_B_C[[#This Row],[QUARTER]]=4,GVA_B_C[[#This Row],[A_REAL_GVA_2020_2015]]/N36,"")</f>
        <v/>
      </c>
    </row>
    <row r="41" spans="1:15" x14ac:dyDescent="0.2">
      <c r="A41" s="1" t="s">
        <v>42</v>
      </c>
      <c r="B41" s="3">
        <f t="shared" si="2"/>
        <v>2004</v>
      </c>
      <c r="C41" s="3">
        <f t="shared" si="3"/>
        <v>4</v>
      </c>
      <c r="D41" s="4">
        <v>328033.7</v>
      </c>
      <c r="E41" s="2">
        <f>GVA_B_C[[#This Row],[Q_GVA_2020]]/D40</f>
        <v>1.1415645135190158</v>
      </c>
      <c r="F41" s="4">
        <f>IF(GVA_B_C[[#This Row],[QUARTER]]=4,SUM(D38:D41),"")</f>
        <v>1179589</v>
      </c>
      <c r="G41" s="2">
        <f>IF(GVA_B_C[[#This Row],[QUARTER]]=4,GVA_B_C[[#This Row],[A_GVA_2020]]/F37,"")</f>
        <v>1.0542319639391393</v>
      </c>
      <c r="H41" s="4">
        <f t="shared" si="0"/>
        <v>439691.98228487361</v>
      </c>
      <c r="I41" s="2">
        <f>GVA_B_C[[#This Row],[Q_REAL_GVA_2020_2024]]/H40</f>
        <v>1.1415645135190158</v>
      </c>
      <c r="J41" s="4">
        <f>IF(GVA_B_C[[#This Row],[QUARTER]]=4,SUM(H38:H41),"")</f>
        <v>1581105.3123244098</v>
      </c>
      <c r="K41" s="2">
        <f>IF(GVA_B_C[[#This Row],[QUARTER]]=4,GVA_B_C[[#This Row],[A_REAL_GVA_2020_2024]]/J37,"")</f>
        <v>1.0542319639391395</v>
      </c>
      <c r="L41" s="4">
        <f t="shared" si="1"/>
        <v>296920.71615319158</v>
      </c>
      <c r="M41" s="2">
        <f>GVA_B_C[[#This Row],[Q_REAL_GVA_2020_2015]]/L40</f>
        <v>1.1415645135190158</v>
      </c>
      <c r="N41" s="4">
        <f>IF(GVA_B_C[[#This Row],[QUARTER]]=4,SUM(L38:L41),"")</f>
        <v>1067708.6245907878</v>
      </c>
      <c r="O41" s="2">
        <f>IF(GVA_B_C[[#This Row],[QUARTER]]=4,GVA_B_C[[#This Row],[A_REAL_GVA_2020_2015]]/N37,"")</f>
        <v>1.0542319639391395</v>
      </c>
    </row>
    <row r="42" spans="1:15" x14ac:dyDescent="0.2">
      <c r="A42" s="1" t="s">
        <v>43</v>
      </c>
      <c r="B42" s="3">
        <f t="shared" si="2"/>
        <v>2005</v>
      </c>
      <c r="C42" s="3">
        <f t="shared" si="3"/>
        <v>1</v>
      </c>
      <c r="D42" s="4">
        <v>281870.8</v>
      </c>
      <c r="E42" s="2">
        <f>GVA_B_C[[#This Row],[Q_GVA_2020]]/D41</f>
        <v>0.85927390996717712</v>
      </c>
      <c r="F42" s="4" t="str">
        <f>IF(GVA_B_C[[#This Row],[QUARTER]]=4,SUM(D39:D42),"")</f>
        <v/>
      </c>
      <c r="G42" s="2" t="str">
        <f>IF(GVA_B_C[[#This Row],[QUARTER]]=4,GVA_B_C[[#This Row],[A_GVA_2020]]/F38,"")</f>
        <v/>
      </c>
      <c r="H42" s="4">
        <f t="shared" si="0"/>
        <v>377815.84879914211</v>
      </c>
      <c r="I42" s="2">
        <f>GVA_B_C[[#This Row],[Q_REAL_GVA_2020_2024]]/H41</f>
        <v>0.85927390996717712</v>
      </c>
      <c r="J42" s="4" t="str">
        <f>IF(GVA_B_C[[#This Row],[QUARTER]]=4,SUM(H39:H42),"")</f>
        <v/>
      </c>
      <c r="K42" s="2" t="str">
        <f>IF(GVA_B_C[[#This Row],[QUARTER]]=4,GVA_B_C[[#This Row],[A_REAL_GVA_2020_2024]]/J38,"")</f>
        <v/>
      </c>
      <c r="L42" s="4">
        <f t="shared" si="1"/>
        <v>255136.2247192073</v>
      </c>
      <c r="M42" s="2">
        <f>GVA_B_C[[#This Row],[Q_REAL_GVA_2020_2015]]/L41</f>
        <v>0.85927390996717712</v>
      </c>
      <c r="N42" s="4" t="str">
        <f>IF(GVA_B_C[[#This Row],[QUARTER]]=4,SUM(L39:L42),"")</f>
        <v/>
      </c>
      <c r="O42" s="2" t="str">
        <f>IF(GVA_B_C[[#This Row],[QUARTER]]=4,GVA_B_C[[#This Row],[A_REAL_GVA_2020_2015]]/N38,"")</f>
        <v/>
      </c>
    </row>
    <row r="43" spans="1:15" x14ac:dyDescent="0.2">
      <c r="A43" s="1" t="s">
        <v>44</v>
      </c>
      <c r="B43" s="3">
        <f t="shared" si="2"/>
        <v>2005</v>
      </c>
      <c r="C43" s="3">
        <f t="shared" si="3"/>
        <v>2</v>
      </c>
      <c r="D43" s="4">
        <v>300048.3</v>
      </c>
      <c r="E43" s="2">
        <f>GVA_B_C[[#This Row],[Q_GVA_2020]]/D42</f>
        <v>1.064488765774958</v>
      </c>
      <c r="F43" s="4" t="str">
        <f>IF(GVA_B_C[[#This Row],[QUARTER]]=4,SUM(D40:D43),"")</f>
        <v/>
      </c>
      <c r="G43" s="2" t="str">
        <f>IF(GVA_B_C[[#This Row],[QUARTER]]=4,GVA_B_C[[#This Row],[A_GVA_2020]]/F39,"")</f>
        <v/>
      </c>
      <c r="H43" s="4">
        <f t="shared" si="0"/>
        <v>402180.72657841694</v>
      </c>
      <c r="I43" s="2">
        <f>GVA_B_C[[#This Row],[Q_REAL_GVA_2020_2024]]/H42</f>
        <v>1.064488765774958</v>
      </c>
      <c r="J43" s="4" t="str">
        <f>IF(GVA_B_C[[#This Row],[QUARTER]]=4,SUM(H40:H43),"")</f>
        <v/>
      </c>
      <c r="K43" s="2" t="str">
        <f>IF(GVA_B_C[[#This Row],[QUARTER]]=4,GVA_B_C[[#This Row],[A_REAL_GVA_2020_2024]]/J39,"")</f>
        <v/>
      </c>
      <c r="L43" s="4">
        <f t="shared" si="1"/>
        <v>271589.64495583129</v>
      </c>
      <c r="M43" s="2">
        <f>GVA_B_C[[#This Row],[Q_REAL_GVA_2020_2015]]/L42</f>
        <v>1.064488765774958</v>
      </c>
      <c r="N43" s="4" t="str">
        <f>IF(GVA_B_C[[#This Row],[QUARTER]]=4,SUM(L40:L43),"")</f>
        <v/>
      </c>
      <c r="O43" s="2" t="str">
        <f>IF(GVA_B_C[[#This Row],[QUARTER]]=4,GVA_B_C[[#This Row],[A_REAL_GVA_2020_2015]]/N39,"")</f>
        <v/>
      </c>
    </row>
    <row r="44" spans="1:15" x14ac:dyDescent="0.2">
      <c r="A44" s="1" t="s">
        <v>45</v>
      </c>
      <c r="B44" s="3">
        <f t="shared" si="2"/>
        <v>2005</v>
      </c>
      <c r="C44" s="3">
        <f t="shared" si="3"/>
        <v>3</v>
      </c>
      <c r="D44" s="4">
        <v>296505.90000000002</v>
      </c>
      <c r="E44" s="2">
        <f>GVA_B_C[[#This Row],[Q_GVA_2020]]/D43</f>
        <v>0.98819390078197422</v>
      </c>
      <c r="F44" s="4" t="str">
        <f>IF(GVA_B_C[[#This Row],[QUARTER]]=4,SUM(D41:D44),"")</f>
        <v/>
      </c>
      <c r="G44" s="2" t="str">
        <f>IF(GVA_B_C[[#This Row],[QUARTER]]=4,GVA_B_C[[#This Row],[A_GVA_2020]]/F40,"")</f>
        <v/>
      </c>
      <c r="H44" s="4">
        <f t="shared" si="0"/>
        <v>397432.54101685446</v>
      </c>
      <c r="I44" s="2">
        <f>GVA_B_C[[#This Row],[Q_REAL_GVA_2020_2024]]/H43</f>
        <v>0.98819390078197422</v>
      </c>
      <c r="J44" s="4" t="str">
        <f>IF(GVA_B_C[[#This Row],[QUARTER]]=4,SUM(H41:H44),"")</f>
        <v/>
      </c>
      <c r="K44" s="2" t="str">
        <f>IF(GVA_B_C[[#This Row],[QUARTER]]=4,GVA_B_C[[#This Row],[A_REAL_GVA_2020_2024]]/J40,"")</f>
        <v/>
      </c>
      <c r="L44" s="4">
        <f t="shared" si="1"/>
        <v>268383.23066089436</v>
      </c>
      <c r="M44" s="2">
        <f>GVA_B_C[[#This Row],[Q_REAL_GVA_2020_2015]]/L43</f>
        <v>0.98819390078197422</v>
      </c>
      <c r="N44" s="4" t="str">
        <f>IF(GVA_B_C[[#This Row],[QUARTER]]=4,SUM(L41:L44),"")</f>
        <v/>
      </c>
      <c r="O44" s="2" t="str">
        <f>IF(GVA_B_C[[#This Row],[QUARTER]]=4,GVA_B_C[[#This Row],[A_REAL_GVA_2020_2015]]/N40,"")</f>
        <v/>
      </c>
    </row>
    <row r="45" spans="1:15" x14ac:dyDescent="0.2">
      <c r="A45" s="1" t="s">
        <v>46</v>
      </c>
      <c r="B45" s="3">
        <f t="shared" si="2"/>
        <v>2005</v>
      </c>
      <c r="C45" s="3">
        <f t="shared" si="3"/>
        <v>4</v>
      </c>
      <c r="D45" s="4">
        <v>337925.6</v>
      </c>
      <c r="E45" s="2">
        <f>GVA_B_C[[#This Row],[Q_GVA_2020]]/D44</f>
        <v>1.1396926671610916</v>
      </c>
      <c r="F45" s="4">
        <f>IF(GVA_B_C[[#This Row],[QUARTER]]=4,SUM(D42:D45),"")</f>
        <v>1216350.6000000001</v>
      </c>
      <c r="G45" s="2">
        <f>IF(GVA_B_C[[#This Row],[QUARTER]]=4,GVA_B_C[[#This Row],[A_GVA_2020]]/F41,"")</f>
        <v>1.0311647531470709</v>
      </c>
      <c r="H45" s="4">
        <f t="shared" si="0"/>
        <v>452950.95268810878</v>
      </c>
      <c r="I45" s="2">
        <f>GVA_B_C[[#This Row],[Q_REAL_GVA_2020_2024]]/H44</f>
        <v>1.1396926671610916</v>
      </c>
      <c r="J45" s="4">
        <f>IF(GVA_B_C[[#This Row],[QUARTER]]=4,SUM(H42:H45),"")</f>
        <v>1630380.0690825223</v>
      </c>
      <c r="K45" s="2">
        <f>IF(GVA_B_C[[#This Row],[QUARTER]]=4,GVA_B_C[[#This Row],[A_REAL_GVA_2020_2024]]/J41,"")</f>
        <v>1.0311647531470707</v>
      </c>
      <c r="L45" s="4">
        <f t="shared" si="1"/>
        <v>305874.39997322514</v>
      </c>
      <c r="M45" s="2">
        <f>GVA_B_C[[#This Row],[Q_REAL_GVA_2020_2015]]/L44</f>
        <v>1.1396926671610916</v>
      </c>
      <c r="N45" s="4">
        <f>IF(GVA_B_C[[#This Row],[QUARTER]]=4,SUM(L42:L45),"")</f>
        <v>1100983.5003091581</v>
      </c>
      <c r="O45" s="2">
        <f>IF(GVA_B_C[[#This Row],[QUARTER]]=4,GVA_B_C[[#This Row],[A_REAL_GVA_2020_2015]]/N41,"")</f>
        <v>1.0311647531470707</v>
      </c>
    </row>
    <row r="46" spans="1:15" x14ac:dyDescent="0.2">
      <c r="A46" s="1" t="s">
        <v>47</v>
      </c>
      <c r="B46" s="3">
        <f t="shared" si="2"/>
        <v>2006</v>
      </c>
      <c r="C46" s="3">
        <f t="shared" si="3"/>
        <v>1</v>
      </c>
      <c r="D46" s="4">
        <v>305087.90000000002</v>
      </c>
      <c r="E46" s="2">
        <f>GVA_B_C[[#This Row],[Q_GVA_2020]]/D45</f>
        <v>0.90282565156353956</v>
      </c>
      <c r="F46" s="4" t="str">
        <f>IF(GVA_B_C[[#This Row],[QUARTER]]=4,SUM(D43:D46),"")</f>
        <v/>
      </c>
      <c r="G46" s="2" t="str">
        <f>IF(GVA_B_C[[#This Row],[QUARTER]]=4,GVA_B_C[[#This Row],[A_GVA_2020]]/F42,"")</f>
        <v/>
      </c>
      <c r="H46" s="4">
        <f t="shared" si="0"/>
        <v>408935.73898696777</v>
      </c>
      <c r="I46" s="2">
        <f>GVA_B_C[[#This Row],[Q_REAL_GVA_2020_2024]]/H45</f>
        <v>0.90282565156353956</v>
      </c>
      <c r="J46" s="4" t="str">
        <f>IF(GVA_B_C[[#This Row],[QUARTER]]=4,SUM(H43:H46),"")</f>
        <v/>
      </c>
      <c r="K46" s="2" t="str">
        <f>IF(GVA_B_C[[#This Row],[QUARTER]]=4,GVA_B_C[[#This Row],[A_REAL_GVA_2020_2024]]/J42,"")</f>
        <v/>
      </c>
      <c r="L46" s="4">
        <f t="shared" si="1"/>
        <v>276151.25445243367</v>
      </c>
      <c r="M46" s="2">
        <f>GVA_B_C[[#This Row],[Q_REAL_GVA_2020_2015]]/L45</f>
        <v>0.90282565156353944</v>
      </c>
      <c r="N46" s="4" t="str">
        <f>IF(GVA_B_C[[#This Row],[QUARTER]]=4,SUM(L43:L46),"")</f>
        <v/>
      </c>
      <c r="O46" s="2" t="str">
        <f>IF(GVA_B_C[[#This Row],[QUARTER]]=4,GVA_B_C[[#This Row],[A_REAL_GVA_2020_2015]]/N42,"")</f>
        <v/>
      </c>
    </row>
    <row r="47" spans="1:15" x14ac:dyDescent="0.2">
      <c r="A47" s="1" t="s">
        <v>48</v>
      </c>
      <c r="B47" s="3">
        <f t="shared" si="2"/>
        <v>2006</v>
      </c>
      <c r="C47" s="3">
        <f t="shared" si="3"/>
        <v>2</v>
      </c>
      <c r="D47" s="4">
        <v>315684</v>
      </c>
      <c r="E47" s="2">
        <f>GVA_B_C[[#This Row],[Q_GVA_2020]]/D46</f>
        <v>1.0347313020280384</v>
      </c>
      <c r="F47" s="4" t="str">
        <f>IF(GVA_B_C[[#This Row],[QUARTER]]=4,SUM(D44:D47),"")</f>
        <v/>
      </c>
      <c r="G47" s="2" t="str">
        <f>IF(GVA_B_C[[#This Row],[QUARTER]]=4,GVA_B_C[[#This Row],[A_GVA_2020]]/F43,"")</f>
        <v/>
      </c>
      <c r="H47" s="4">
        <f t="shared" si="0"/>
        <v>423138.60964778322</v>
      </c>
      <c r="I47" s="2">
        <f>GVA_B_C[[#This Row],[Q_REAL_GVA_2020_2024]]/H46</f>
        <v>1.0347313020280384</v>
      </c>
      <c r="J47" s="4" t="str">
        <f>IF(GVA_B_C[[#This Row],[QUARTER]]=4,SUM(H44:H47),"")</f>
        <v/>
      </c>
      <c r="K47" s="2" t="str">
        <f>IF(GVA_B_C[[#This Row],[QUARTER]]=4,GVA_B_C[[#This Row],[A_REAL_GVA_2020_2024]]/J43,"")</f>
        <v/>
      </c>
      <c r="L47" s="4">
        <f t="shared" si="1"/>
        <v>285742.34707624285</v>
      </c>
      <c r="M47" s="2">
        <f>GVA_B_C[[#This Row],[Q_REAL_GVA_2020_2015]]/L46</f>
        <v>1.0347313020280384</v>
      </c>
      <c r="N47" s="4" t="str">
        <f>IF(GVA_B_C[[#This Row],[QUARTER]]=4,SUM(L44:L47),"")</f>
        <v/>
      </c>
      <c r="O47" s="2" t="str">
        <f>IF(GVA_B_C[[#This Row],[QUARTER]]=4,GVA_B_C[[#This Row],[A_REAL_GVA_2020_2015]]/N43,"")</f>
        <v/>
      </c>
    </row>
    <row r="48" spans="1:15" x14ac:dyDescent="0.2">
      <c r="A48" s="1" t="s">
        <v>49</v>
      </c>
      <c r="B48" s="3">
        <f t="shared" si="2"/>
        <v>2006</v>
      </c>
      <c r="C48" s="3">
        <f t="shared" si="3"/>
        <v>3</v>
      </c>
      <c r="D48" s="4">
        <v>318554.7</v>
      </c>
      <c r="E48" s="2">
        <f>GVA_B_C[[#This Row],[Q_GVA_2020]]/D47</f>
        <v>1.0090935872581444</v>
      </c>
      <c r="F48" s="4" t="str">
        <f>IF(GVA_B_C[[#This Row],[QUARTER]]=4,SUM(D45:D48),"")</f>
        <v/>
      </c>
      <c r="G48" s="2" t="str">
        <f>IF(GVA_B_C[[#This Row],[QUARTER]]=4,GVA_B_C[[#This Row],[A_GVA_2020]]/F44,"")</f>
        <v/>
      </c>
      <c r="H48" s="4">
        <f t="shared" si="0"/>
        <v>426986.45751690521</v>
      </c>
      <c r="I48" s="2">
        <f>GVA_B_C[[#This Row],[Q_REAL_GVA_2020_2024]]/H47</f>
        <v>1.0090935872581444</v>
      </c>
      <c r="J48" s="4" t="str">
        <f>IF(GVA_B_C[[#This Row],[QUARTER]]=4,SUM(H45:H48),"")</f>
        <v/>
      </c>
      <c r="K48" s="2" t="str">
        <f>IF(GVA_B_C[[#This Row],[QUARTER]]=4,GVA_B_C[[#This Row],[A_REAL_GVA_2020_2024]]/J44,"")</f>
        <v/>
      </c>
      <c r="L48" s="4">
        <f t="shared" si="1"/>
        <v>288340.77004272764</v>
      </c>
      <c r="M48" s="2">
        <f>GVA_B_C[[#This Row],[Q_REAL_GVA_2020_2015]]/L47</f>
        <v>1.0090935872581444</v>
      </c>
      <c r="N48" s="4" t="str">
        <f>IF(GVA_B_C[[#This Row],[QUARTER]]=4,SUM(L45:L48),"")</f>
        <v/>
      </c>
      <c r="O48" s="2" t="str">
        <f>IF(GVA_B_C[[#This Row],[QUARTER]]=4,GVA_B_C[[#This Row],[A_REAL_GVA_2020_2015]]/N44,"")</f>
        <v/>
      </c>
    </row>
    <row r="49" spans="1:15" x14ac:dyDescent="0.2">
      <c r="A49" s="1" t="s">
        <v>50</v>
      </c>
      <c r="B49" s="3">
        <f t="shared" si="2"/>
        <v>2006</v>
      </c>
      <c r="C49" s="3">
        <f t="shared" si="3"/>
        <v>4</v>
      </c>
      <c r="D49" s="4">
        <v>352178.5</v>
      </c>
      <c r="E49" s="2">
        <f>GVA_B_C[[#This Row],[Q_GVA_2020]]/D48</f>
        <v>1.1055511031543406</v>
      </c>
      <c r="F49" s="4">
        <f>IF(GVA_B_C[[#This Row],[QUARTER]]=4,SUM(D46:D49),"")</f>
        <v>1291505.1000000001</v>
      </c>
      <c r="G49" s="2">
        <f>IF(GVA_B_C[[#This Row],[QUARTER]]=4,GVA_B_C[[#This Row],[A_GVA_2020]]/F45,"")</f>
        <v>1.0617868729624502</v>
      </c>
      <c r="H49" s="4">
        <f t="shared" si="0"/>
        <v>472055.34913977853</v>
      </c>
      <c r="I49" s="2">
        <f>GVA_B_C[[#This Row],[Q_REAL_GVA_2020_2024]]/H48</f>
        <v>1.1055511031543406</v>
      </c>
      <c r="J49" s="4">
        <f>IF(GVA_B_C[[#This Row],[QUARTER]]=4,SUM(H46:H49),"")</f>
        <v>1731116.1552914348</v>
      </c>
      <c r="K49" s="2">
        <f>IF(GVA_B_C[[#This Row],[QUARTER]]=4,GVA_B_C[[#This Row],[A_REAL_GVA_2020_2024]]/J45,"")</f>
        <v>1.0617868729624502</v>
      </c>
      <c r="L49" s="4">
        <f t="shared" si="1"/>
        <v>318775.45640510955</v>
      </c>
      <c r="M49" s="2">
        <f>GVA_B_C[[#This Row],[Q_REAL_GVA_2020_2015]]/L48</f>
        <v>1.1055511031543404</v>
      </c>
      <c r="N49" s="4">
        <f>IF(GVA_B_C[[#This Row],[QUARTER]]=4,SUM(L46:L49),"")</f>
        <v>1169009.8279765137</v>
      </c>
      <c r="O49" s="2">
        <f>IF(GVA_B_C[[#This Row],[QUARTER]]=4,GVA_B_C[[#This Row],[A_REAL_GVA_2020_2015]]/N45,"")</f>
        <v>1.06178687296245</v>
      </c>
    </row>
    <row r="50" spans="1:15" x14ac:dyDescent="0.2">
      <c r="A50" s="1" t="s">
        <v>51</v>
      </c>
      <c r="B50" s="3">
        <f t="shared" si="2"/>
        <v>2007</v>
      </c>
      <c r="C50" s="3">
        <f t="shared" si="3"/>
        <v>1</v>
      </c>
      <c r="D50" s="4">
        <v>328059.3</v>
      </c>
      <c r="E50" s="2">
        <f>GVA_B_C[[#This Row],[Q_GVA_2020]]/D49</f>
        <v>0.93151427472148352</v>
      </c>
      <c r="F50" s="4" t="str">
        <f>IF(GVA_B_C[[#This Row],[QUARTER]]=4,SUM(D47:D50),"")</f>
        <v/>
      </c>
      <c r="G50" s="2" t="str">
        <f>IF(GVA_B_C[[#This Row],[QUARTER]]=4,GVA_B_C[[#This Row],[A_GVA_2020]]/F46,"")</f>
        <v/>
      </c>
      <c r="H50" s="4">
        <f t="shared" si="0"/>
        <v>439726.29618233745</v>
      </c>
      <c r="I50" s="2">
        <f>GVA_B_C[[#This Row],[Q_REAL_GVA_2020_2024]]/H49</f>
        <v>0.93151427472148352</v>
      </c>
      <c r="J50" s="4" t="str">
        <f>IF(GVA_B_C[[#This Row],[QUARTER]]=4,SUM(H47:H50),"")</f>
        <v/>
      </c>
      <c r="K50" s="2" t="str">
        <f>IF(GVA_B_C[[#This Row],[QUARTER]]=4,GVA_B_C[[#This Row],[A_REAL_GVA_2020_2024]]/J46,"")</f>
        <v/>
      </c>
      <c r="L50" s="4">
        <f t="shared" si="1"/>
        <v>296943.88807221549</v>
      </c>
      <c r="M50" s="2">
        <f>GVA_B_C[[#This Row],[Q_REAL_GVA_2020_2015]]/L49</f>
        <v>0.9315142747214834</v>
      </c>
      <c r="N50" s="4" t="str">
        <f>IF(GVA_B_C[[#This Row],[QUARTER]]=4,SUM(L47:L50),"")</f>
        <v/>
      </c>
      <c r="O50" s="2" t="str">
        <f>IF(GVA_B_C[[#This Row],[QUARTER]]=4,GVA_B_C[[#This Row],[A_REAL_GVA_2020_2015]]/N46,"")</f>
        <v/>
      </c>
    </row>
    <row r="51" spans="1:15" x14ac:dyDescent="0.2">
      <c r="A51" s="1" t="s">
        <v>52</v>
      </c>
      <c r="B51" s="3">
        <f t="shared" si="2"/>
        <v>2007</v>
      </c>
      <c r="C51" s="3">
        <f t="shared" si="3"/>
        <v>2</v>
      </c>
      <c r="D51" s="4">
        <v>332883.7</v>
      </c>
      <c r="E51" s="2">
        <f>GVA_B_C[[#This Row],[Q_GVA_2020]]/D50</f>
        <v>1.0147058778702509</v>
      </c>
      <c r="F51" s="4" t="str">
        <f>IF(GVA_B_C[[#This Row],[QUARTER]]=4,SUM(D48:D51),"")</f>
        <v/>
      </c>
      <c r="G51" s="2" t="str">
        <f>IF(GVA_B_C[[#This Row],[QUARTER]]=4,GVA_B_C[[#This Row],[A_GVA_2020]]/F47,"")</f>
        <v/>
      </c>
      <c r="H51" s="4">
        <f t="shared" si="0"/>
        <v>446192.85739033268</v>
      </c>
      <c r="I51" s="2">
        <f>GVA_B_C[[#This Row],[Q_REAL_GVA_2020_2024]]/H50</f>
        <v>1.0147058778702509</v>
      </c>
      <c r="J51" s="4" t="str">
        <f>IF(GVA_B_C[[#This Row],[QUARTER]]=4,SUM(H48:H51),"")</f>
        <v/>
      </c>
      <c r="K51" s="2" t="str">
        <f>IF(GVA_B_C[[#This Row],[QUARTER]]=4,GVA_B_C[[#This Row],[A_REAL_GVA_2020_2024]]/J47,"")</f>
        <v/>
      </c>
      <c r="L51" s="4">
        <f t="shared" si="1"/>
        <v>301310.70862452296</v>
      </c>
      <c r="M51" s="2">
        <f>GVA_B_C[[#This Row],[Q_REAL_GVA_2020_2015]]/L50</f>
        <v>1.0147058778702509</v>
      </c>
      <c r="N51" s="4" t="str">
        <f>IF(GVA_B_C[[#This Row],[QUARTER]]=4,SUM(L48:L51),"")</f>
        <v/>
      </c>
      <c r="O51" s="2" t="str">
        <f>IF(GVA_B_C[[#This Row],[QUARTER]]=4,GVA_B_C[[#This Row],[A_REAL_GVA_2020_2015]]/N47,"")</f>
        <v/>
      </c>
    </row>
    <row r="52" spans="1:15" x14ac:dyDescent="0.2">
      <c r="A52" s="1" t="s">
        <v>53</v>
      </c>
      <c r="B52" s="3">
        <f t="shared" si="2"/>
        <v>2007</v>
      </c>
      <c r="C52" s="3">
        <f t="shared" si="3"/>
        <v>3</v>
      </c>
      <c r="D52" s="4">
        <v>334515.90000000002</v>
      </c>
      <c r="E52" s="2">
        <f>GVA_B_C[[#This Row],[Q_GVA_2020]]/D51</f>
        <v>1.0049032139452909</v>
      </c>
      <c r="F52" s="4" t="str">
        <f>IF(GVA_B_C[[#This Row],[QUARTER]]=4,SUM(D49:D52),"")</f>
        <v/>
      </c>
      <c r="G52" s="2" t="str">
        <f>IF(GVA_B_C[[#This Row],[QUARTER]]=4,GVA_B_C[[#This Row],[A_GVA_2020]]/F48,"")</f>
        <v/>
      </c>
      <c r="H52" s="4">
        <f t="shared" si="0"/>
        <v>448380.63643097813</v>
      </c>
      <c r="I52" s="2">
        <f>GVA_B_C[[#This Row],[Q_REAL_GVA_2020_2024]]/H51</f>
        <v>1.0049032139452909</v>
      </c>
      <c r="J52" s="4" t="str">
        <f>IF(GVA_B_C[[#This Row],[QUARTER]]=4,SUM(H49:H52),"")</f>
        <v/>
      </c>
      <c r="K52" s="2" t="str">
        <f>IF(GVA_B_C[[#This Row],[QUARTER]]=4,GVA_B_C[[#This Row],[A_REAL_GVA_2020_2024]]/J48,"")</f>
        <v/>
      </c>
      <c r="L52" s="4">
        <f t="shared" si="1"/>
        <v>302788.0994929162</v>
      </c>
      <c r="M52" s="2">
        <f>GVA_B_C[[#This Row],[Q_REAL_GVA_2020_2015]]/L51</f>
        <v>1.0049032139452909</v>
      </c>
      <c r="N52" s="4" t="str">
        <f>IF(GVA_B_C[[#This Row],[QUARTER]]=4,SUM(L49:L52),"")</f>
        <v/>
      </c>
      <c r="O52" s="2" t="str">
        <f>IF(GVA_B_C[[#This Row],[QUARTER]]=4,GVA_B_C[[#This Row],[A_REAL_GVA_2020_2015]]/N48,"")</f>
        <v/>
      </c>
    </row>
    <row r="53" spans="1:15" x14ac:dyDescent="0.2">
      <c r="A53" s="1" t="s">
        <v>54</v>
      </c>
      <c r="B53" s="3">
        <f t="shared" si="2"/>
        <v>2007</v>
      </c>
      <c r="C53" s="3">
        <f t="shared" si="3"/>
        <v>4</v>
      </c>
      <c r="D53" s="4">
        <v>383857</v>
      </c>
      <c r="E53" s="2">
        <f>GVA_B_C[[#This Row],[Q_GVA_2020]]/D52</f>
        <v>1.1475000141996239</v>
      </c>
      <c r="F53" s="4">
        <f>IF(GVA_B_C[[#This Row],[QUARTER]]=4,SUM(D50:D53),"")</f>
        <v>1379315.9</v>
      </c>
      <c r="G53" s="2">
        <f>IF(GVA_B_C[[#This Row],[QUARTER]]=4,GVA_B_C[[#This Row],[A_GVA_2020]]/F49,"")</f>
        <v>1.0679910594236135</v>
      </c>
      <c r="H53" s="4">
        <f t="shared" si="0"/>
        <v>514516.78667138377</v>
      </c>
      <c r="I53" s="2">
        <f>GVA_B_C[[#This Row],[Q_REAL_GVA_2020_2024]]/H52</f>
        <v>1.1475000141996239</v>
      </c>
      <c r="J53" s="4">
        <f>IF(GVA_B_C[[#This Row],[QUARTER]]=4,SUM(H50:H53),"")</f>
        <v>1848816.576675032</v>
      </c>
      <c r="K53" s="2">
        <f>IF(GVA_B_C[[#This Row],[QUARTER]]=4,GVA_B_C[[#This Row],[A_REAL_GVA_2020_2024]]/J49,"")</f>
        <v>1.0679910594236135</v>
      </c>
      <c r="L53" s="4">
        <f t="shared" si="1"/>
        <v>347449.34846759849</v>
      </c>
      <c r="M53" s="2">
        <f>GVA_B_C[[#This Row],[Q_REAL_GVA_2020_2015]]/L52</f>
        <v>1.1475000141996239</v>
      </c>
      <c r="N53" s="4">
        <f>IF(GVA_B_C[[#This Row],[QUARTER]]=4,SUM(L50:L53),"")</f>
        <v>1248492.044657253</v>
      </c>
      <c r="O53" s="2">
        <f>IF(GVA_B_C[[#This Row],[QUARTER]]=4,GVA_B_C[[#This Row],[A_REAL_GVA_2020_2015]]/N49,"")</f>
        <v>1.0679910594236135</v>
      </c>
    </row>
    <row r="54" spans="1:15" x14ac:dyDescent="0.2">
      <c r="A54" s="1" t="s">
        <v>55</v>
      </c>
      <c r="B54" s="3">
        <f t="shared" si="2"/>
        <v>2008</v>
      </c>
      <c r="C54" s="3">
        <f t="shared" si="3"/>
        <v>1</v>
      </c>
      <c r="D54" s="4">
        <v>344849</v>
      </c>
      <c r="E54" s="2">
        <f>GVA_B_C[[#This Row],[Q_GVA_2020]]/D53</f>
        <v>0.89837882336390895</v>
      </c>
      <c r="F54" s="4" t="str">
        <f>IF(GVA_B_C[[#This Row],[QUARTER]]=4,SUM(D51:D54),"")</f>
        <v/>
      </c>
      <c r="G54" s="2" t="str">
        <f>IF(GVA_B_C[[#This Row],[QUARTER]]=4,GVA_B_C[[#This Row],[A_GVA_2020]]/F50,"")</f>
        <v/>
      </c>
      <c r="H54" s="4">
        <f t="shared" si="0"/>
        <v>462230.98541081708</v>
      </c>
      <c r="I54" s="2">
        <f>GVA_B_C[[#This Row],[Q_REAL_GVA_2020_2024]]/H53</f>
        <v>0.89837882336390895</v>
      </c>
      <c r="J54" s="4" t="str">
        <f>IF(GVA_B_C[[#This Row],[QUARTER]]=4,SUM(H51:H54),"")</f>
        <v/>
      </c>
      <c r="K54" s="2" t="str">
        <f>IF(GVA_B_C[[#This Row],[QUARTER]]=4,GVA_B_C[[#This Row],[A_REAL_GVA_2020_2024]]/J50,"")</f>
        <v/>
      </c>
      <c r="L54" s="4">
        <f t="shared" si="1"/>
        <v>312141.13685487793</v>
      </c>
      <c r="M54" s="2">
        <f>GVA_B_C[[#This Row],[Q_REAL_GVA_2020_2015]]/L53</f>
        <v>0.89837882336390895</v>
      </c>
      <c r="N54" s="4" t="str">
        <f>IF(GVA_B_C[[#This Row],[QUARTER]]=4,SUM(L51:L54),"")</f>
        <v/>
      </c>
      <c r="O54" s="2" t="str">
        <f>IF(GVA_B_C[[#This Row],[QUARTER]]=4,GVA_B_C[[#This Row],[A_REAL_GVA_2020_2015]]/N50,"")</f>
        <v/>
      </c>
    </row>
    <row r="55" spans="1:15" x14ac:dyDescent="0.2">
      <c r="A55" s="1" t="s">
        <v>56</v>
      </c>
      <c r="B55" s="3">
        <f t="shared" si="2"/>
        <v>2008</v>
      </c>
      <c r="C55" s="3">
        <f t="shared" si="3"/>
        <v>2</v>
      </c>
      <c r="D55" s="4">
        <v>350128.5</v>
      </c>
      <c r="E55" s="2">
        <f>GVA_B_C[[#This Row],[Q_GVA_2020]]/D54</f>
        <v>1.0153095992738852</v>
      </c>
      <c r="F55" s="4" t="str">
        <f>IF(GVA_B_C[[#This Row],[QUARTER]]=4,SUM(D52:D55),"")</f>
        <v/>
      </c>
      <c r="G55" s="2" t="str">
        <f>IF(GVA_B_C[[#This Row],[QUARTER]]=4,GVA_B_C[[#This Row],[A_GVA_2020]]/F51,"")</f>
        <v/>
      </c>
      <c r="H55" s="4">
        <f t="shared" si="0"/>
        <v>469307.55656942975</v>
      </c>
      <c r="I55" s="2">
        <f>GVA_B_C[[#This Row],[Q_REAL_GVA_2020_2024]]/H54</f>
        <v>1.0153095992738852</v>
      </c>
      <c r="J55" s="4" t="str">
        <f>IF(GVA_B_C[[#This Row],[QUARTER]]=4,SUM(H52:H55),"")</f>
        <v/>
      </c>
      <c r="K55" s="2" t="str">
        <f>IF(GVA_B_C[[#This Row],[QUARTER]]=4,GVA_B_C[[#This Row],[A_REAL_GVA_2020_2024]]/J51,"")</f>
        <v/>
      </c>
      <c r="L55" s="4">
        <f t="shared" si="1"/>
        <v>316919.89257702109</v>
      </c>
      <c r="M55" s="2">
        <f>GVA_B_C[[#This Row],[Q_REAL_GVA_2020_2015]]/L54</f>
        <v>1.0153095992738852</v>
      </c>
      <c r="N55" s="4" t="str">
        <f>IF(GVA_B_C[[#This Row],[QUARTER]]=4,SUM(L52:L55),"")</f>
        <v/>
      </c>
      <c r="O55" s="2" t="str">
        <f>IF(GVA_B_C[[#This Row],[QUARTER]]=4,GVA_B_C[[#This Row],[A_REAL_GVA_2020_2015]]/N51,"")</f>
        <v/>
      </c>
    </row>
    <row r="56" spans="1:15" x14ac:dyDescent="0.2">
      <c r="A56" s="1" t="s">
        <v>57</v>
      </c>
      <c r="B56" s="3">
        <f t="shared" si="2"/>
        <v>2008</v>
      </c>
      <c r="C56" s="3">
        <f t="shared" si="3"/>
        <v>3</v>
      </c>
      <c r="D56" s="4">
        <v>345085.3</v>
      </c>
      <c r="E56" s="2">
        <f>GVA_B_C[[#This Row],[Q_GVA_2020]]/D55</f>
        <v>0.98559614541518326</v>
      </c>
      <c r="F56" s="4" t="str">
        <f>IF(GVA_B_C[[#This Row],[QUARTER]]=4,SUM(D53:D56),"")</f>
        <v/>
      </c>
      <c r="G56" s="2" t="str">
        <f>IF(GVA_B_C[[#This Row],[QUARTER]]=4,GVA_B_C[[#This Row],[A_GVA_2020]]/F52,"")</f>
        <v/>
      </c>
      <c r="H56" s="4">
        <f t="shared" si="0"/>
        <v>462547.71876904805</v>
      </c>
      <c r="I56" s="2">
        <f>GVA_B_C[[#This Row],[Q_REAL_GVA_2020_2024]]/H55</f>
        <v>0.98559614541518326</v>
      </c>
      <c r="J56" s="4" t="str">
        <f>IF(GVA_B_C[[#This Row],[QUARTER]]=4,SUM(H53:H56),"")</f>
        <v/>
      </c>
      <c r="K56" s="2" t="str">
        <f>IF(GVA_B_C[[#This Row],[QUARTER]]=4,GVA_B_C[[#This Row],[A_REAL_GVA_2020_2024]]/J52,"")</f>
        <v/>
      </c>
      <c r="L56" s="4">
        <f t="shared" si="1"/>
        <v>312355.02452930593</v>
      </c>
      <c r="M56" s="2">
        <f>GVA_B_C[[#This Row],[Q_REAL_GVA_2020_2015]]/L55</f>
        <v>0.98559614541518326</v>
      </c>
      <c r="N56" s="4" t="str">
        <f>IF(GVA_B_C[[#This Row],[QUARTER]]=4,SUM(L53:L56),"")</f>
        <v/>
      </c>
      <c r="O56" s="2" t="str">
        <f>IF(GVA_B_C[[#This Row],[QUARTER]]=4,GVA_B_C[[#This Row],[A_REAL_GVA_2020_2015]]/N52,"")</f>
        <v/>
      </c>
    </row>
    <row r="57" spans="1:15" x14ac:dyDescent="0.2">
      <c r="A57" s="1" t="s">
        <v>58</v>
      </c>
      <c r="B57" s="3">
        <f t="shared" si="2"/>
        <v>2008</v>
      </c>
      <c r="C57" s="3">
        <f t="shared" si="3"/>
        <v>4</v>
      </c>
      <c r="D57" s="4">
        <v>396538.7</v>
      </c>
      <c r="E57" s="2">
        <f>GVA_B_C[[#This Row],[Q_GVA_2020]]/D56</f>
        <v>1.1491034245735765</v>
      </c>
      <c r="F57" s="4">
        <f>IF(GVA_B_C[[#This Row],[QUARTER]]=4,SUM(D54:D57),"")</f>
        <v>1436601.5</v>
      </c>
      <c r="G57" s="2">
        <f>IF(GVA_B_C[[#This Row],[QUARTER]]=4,GVA_B_C[[#This Row],[A_GVA_2020]]/F53,"")</f>
        <v>1.0415318927303021</v>
      </c>
      <c r="H57" s="4">
        <f t="shared" si="0"/>
        <v>531515.1676662087</v>
      </c>
      <c r="I57" s="2">
        <f>GVA_B_C[[#This Row],[Q_REAL_GVA_2020_2024]]/H56</f>
        <v>1.1491034245735765</v>
      </c>
      <c r="J57" s="4">
        <f>IF(GVA_B_C[[#This Row],[QUARTER]]=4,SUM(H54:H57),"")</f>
        <v>1925601.4284155036</v>
      </c>
      <c r="K57" s="2">
        <f>IF(GVA_B_C[[#This Row],[QUARTER]]=4,GVA_B_C[[#This Row],[A_REAL_GVA_2020_2024]]/J53,"")</f>
        <v>1.0415318927303019</v>
      </c>
      <c r="L57" s="4">
        <f t="shared" si="1"/>
        <v>358928.2283693889</v>
      </c>
      <c r="M57" s="2">
        <f>GVA_B_C[[#This Row],[Q_REAL_GVA_2020_2015]]/L56</f>
        <v>1.1491034245735765</v>
      </c>
      <c r="N57" s="4">
        <f>IF(GVA_B_C[[#This Row],[QUARTER]]=4,SUM(L54:L57),"")</f>
        <v>1300344.282330594</v>
      </c>
      <c r="O57" s="2">
        <f>IF(GVA_B_C[[#This Row],[QUARTER]]=4,GVA_B_C[[#This Row],[A_REAL_GVA_2020_2015]]/N53,"")</f>
        <v>1.0415318927303026</v>
      </c>
    </row>
    <row r="58" spans="1:15" x14ac:dyDescent="0.2">
      <c r="A58" s="1" t="s">
        <v>59</v>
      </c>
      <c r="B58" s="3">
        <f t="shared" si="2"/>
        <v>2009</v>
      </c>
      <c r="C58" s="3">
        <f t="shared" si="3"/>
        <v>1</v>
      </c>
      <c r="D58" s="4">
        <v>351095.8</v>
      </c>
      <c r="E58" s="2">
        <f>GVA_B_C[[#This Row],[Q_GVA_2020]]/D57</f>
        <v>0.8854010970429872</v>
      </c>
      <c r="F58" s="4" t="str">
        <f>IF(GVA_B_C[[#This Row],[QUARTER]]=4,SUM(D55:D58),"")</f>
        <v/>
      </c>
      <c r="G58" s="2" t="str">
        <f>IF(GVA_B_C[[#This Row],[QUARTER]]=4,GVA_B_C[[#This Row],[A_GVA_2020]]/F54,"")</f>
        <v/>
      </c>
      <c r="H58" s="4">
        <f t="shared" si="0"/>
        <v>470604.11254664848</v>
      </c>
      <c r="I58" s="2">
        <f>GVA_B_C[[#This Row],[Q_REAL_GVA_2020_2024]]/H57</f>
        <v>0.8854010970429872</v>
      </c>
      <c r="J58" s="4" t="str">
        <f>IF(GVA_B_C[[#This Row],[QUARTER]]=4,SUM(H55:H58),"")</f>
        <v/>
      </c>
      <c r="K58" s="2" t="str">
        <f>IF(GVA_B_C[[#This Row],[QUARTER]]=4,GVA_B_C[[#This Row],[A_REAL_GVA_2020_2024]]/J54,"")</f>
        <v/>
      </c>
      <c r="L58" s="4">
        <f t="shared" si="1"/>
        <v>317795.44715795276</v>
      </c>
      <c r="M58" s="2">
        <f>GVA_B_C[[#This Row],[Q_REAL_GVA_2020_2015]]/L57</f>
        <v>0.8854010970429872</v>
      </c>
      <c r="N58" s="4" t="str">
        <f>IF(GVA_B_C[[#This Row],[QUARTER]]=4,SUM(L55:L58),"")</f>
        <v/>
      </c>
      <c r="O58" s="2" t="str">
        <f>IF(GVA_B_C[[#This Row],[QUARTER]]=4,GVA_B_C[[#This Row],[A_REAL_GVA_2020_2015]]/N54,"")</f>
        <v/>
      </c>
    </row>
    <row r="59" spans="1:15" x14ac:dyDescent="0.2">
      <c r="A59" s="1" t="s">
        <v>60</v>
      </c>
      <c r="B59" s="3">
        <f t="shared" si="2"/>
        <v>2009</v>
      </c>
      <c r="C59" s="3">
        <f t="shared" si="3"/>
        <v>2</v>
      </c>
      <c r="D59" s="4">
        <v>354757.9</v>
      </c>
      <c r="E59" s="2">
        <f>GVA_B_C[[#This Row],[Q_GVA_2020]]/D58</f>
        <v>1.0104304864939997</v>
      </c>
      <c r="F59" s="4" t="str">
        <f>IF(GVA_B_C[[#This Row],[QUARTER]]=4,SUM(D56:D59),"")</f>
        <v/>
      </c>
      <c r="G59" s="2" t="str">
        <f>IF(GVA_B_C[[#This Row],[QUARTER]]=4,GVA_B_C[[#This Row],[A_GVA_2020]]/F55,"")</f>
        <v/>
      </c>
      <c r="H59" s="4">
        <f t="shared" si="0"/>
        <v>475512.74238658702</v>
      </c>
      <c r="I59" s="2">
        <f>GVA_B_C[[#This Row],[Q_REAL_GVA_2020_2024]]/H58</f>
        <v>1.0104304864939997</v>
      </c>
      <c r="J59" s="4" t="str">
        <f>IF(GVA_B_C[[#This Row],[QUARTER]]=4,SUM(H56:H59),"")</f>
        <v/>
      </c>
      <c r="K59" s="2" t="str">
        <f>IF(GVA_B_C[[#This Row],[QUARTER]]=4,GVA_B_C[[#This Row],[A_REAL_GVA_2020_2024]]/J55,"")</f>
        <v/>
      </c>
      <c r="L59" s="4">
        <f t="shared" si="1"/>
        <v>321110.20827738836</v>
      </c>
      <c r="M59" s="2">
        <f>GVA_B_C[[#This Row],[Q_REAL_GVA_2020_2015]]/L58</f>
        <v>1.0104304864939997</v>
      </c>
      <c r="N59" s="4" t="str">
        <f>IF(GVA_B_C[[#This Row],[QUARTER]]=4,SUM(L56:L59),"")</f>
        <v/>
      </c>
      <c r="O59" s="2" t="str">
        <f>IF(GVA_B_C[[#This Row],[QUARTER]]=4,GVA_B_C[[#This Row],[A_REAL_GVA_2020_2015]]/N55,"")</f>
        <v/>
      </c>
    </row>
    <row r="60" spans="1:15" x14ac:dyDescent="0.2">
      <c r="A60" s="1" t="s">
        <v>61</v>
      </c>
      <c r="B60" s="3">
        <f t="shared" si="2"/>
        <v>2009</v>
      </c>
      <c r="C60" s="3">
        <f t="shared" si="3"/>
        <v>3</v>
      </c>
      <c r="D60" s="4">
        <v>357475.3</v>
      </c>
      <c r="E60" s="2">
        <f>GVA_B_C[[#This Row],[Q_GVA_2020]]/D59</f>
        <v>1.007659871704055</v>
      </c>
      <c r="F60" s="4" t="str">
        <f>IF(GVA_B_C[[#This Row],[QUARTER]]=4,SUM(D57:D60),"")</f>
        <v/>
      </c>
      <c r="G60" s="2" t="str">
        <f>IF(GVA_B_C[[#This Row],[QUARTER]]=4,GVA_B_C[[#This Row],[A_GVA_2020]]/F56,"")</f>
        <v/>
      </c>
      <c r="H60" s="4">
        <f t="shared" si="0"/>
        <v>479155.10898691165</v>
      </c>
      <c r="I60" s="2">
        <f>GVA_B_C[[#This Row],[Q_REAL_GVA_2020_2024]]/H59</f>
        <v>1.007659871704055</v>
      </c>
      <c r="J60" s="4" t="str">
        <f>IF(GVA_B_C[[#This Row],[QUARTER]]=4,SUM(H57:H60),"")</f>
        <v/>
      </c>
      <c r="K60" s="2" t="str">
        <f>IF(GVA_B_C[[#This Row],[QUARTER]]=4,GVA_B_C[[#This Row],[A_REAL_GVA_2020_2024]]/J56,"")</f>
        <v/>
      </c>
      <c r="L60" s="4">
        <f t="shared" si="1"/>
        <v>323569.87127565552</v>
      </c>
      <c r="M60" s="2">
        <f>GVA_B_C[[#This Row],[Q_REAL_GVA_2020_2015]]/L59</f>
        <v>1.007659871704055</v>
      </c>
      <c r="N60" s="4" t="str">
        <f>IF(GVA_B_C[[#This Row],[QUARTER]]=4,SUM(L57:L60),"")</f>
        <v/>
      </c>
      <c r="O60" s="2" t="str">
        <f>IF(GVA_B_C[[#This Row],[QUARTER]]=4,GVA_B_C[[#This Row],[A_REAL_GVA_2020_2015]]/N56,"")</f>
        <v/>
      </c>
    </row>
    <row r="61" spans="1:15" x14ac:dyDescent="0.2">
      <c r="A61" s="1" t="s">
        <v>62</v>
      </c>
      <c r="B61" s="3">
        <f t="shared" si="2"/>
        <v>2009</v>
      </c>
      <c r="C61" s="3">
        <f t="shared" si="3"/>
        <v>4</v>
      </c>
      <c r="D61" s="4">
        <v>414742.9</v>
      </c>
      <c r="E61" s="2">
        <f>GVA_B_C[[#This Row],[Q_GVA_2020]]/D60</f>
        <v>1.1602001592837323</v>
      </c>
      <c r="F61" s="4">
        <f>IF(GVA_B_C[[#This Row],[QUARTER]]=4,SUM(D58:D61),"")</f>
        <v>1478071.9</v>
      </c>
      <c r="G61" s="2">
        <f>IF(GVA_B_C[[#This Row],[QUARTER]]=4,GVA_B_C[[#This Row],[A_GVA_2020]]/F57,"")</f>
        <v>1.0288670170537897</v>
      </c>
      <c r="H61" s="4">
        <f t="shared" si="0"/>
        <v>555915.833768229</v>
      </c>
      <c r="I61" s="2">
        <f>GVA_B_C[[#This Row],[Q_REAL_GVA_2020_2024]]/H60</f>
        <v>1.1602001592837323</v>
      </c>
      <c r="J61" s="4">
        <f>IF(GVA_B_C[[#This Row],[QUARTER]]=4,SUM(H58:H61),"")</f>
        <v>1981187.7976883762</v>
      </c>
      <c r="K61" s="2">
        <f>IF(GVA_B_C[[#This Row],[QUARTER]]=4,GVA_B_C[[#This Row],[A_REAL_GVA_2020_2024]]/J57,"")</f>
        <v>1.0288670170537899</v>
      </c>
      <c r="L61" s="4">
        <f t="shared" si="1"/>
        <v>375405.81619343231</v>
      </c>
      <c r="M61" s="2">
        <f>GVA_B_C[[#This Row],[Q_REAL_GVA_2020_2015]]/L60</f>
        <v>1.1602001592837323</v>
      </c>
      <c r="N61" s="4">
        <f>IF(GVA_B_C[[#This Row],[QUARTER]]=4,SUM(L58:L61),"")</f>
        <v>1337881.342904429</v>
      </c>
      <c r="O61" s="2">
        <f>IF(GVA_B_C[[#This Row],[QUARTER]]=4,GVA_B_C[[#This Row],[A_REAL_GVA_2020_2015]]/N57,"")</f>
        <v>1.0288670170537895</v>
      </c>
    </row>
    <row r="62" spans="1:15" x14ac:dyDescent="0.2">
      <c r="A62" s="1" t="s">
        <v>63</v>
      </c>
      <c r="B62" s="3">
        <f t="shared" si="2"/>
        <v>2010</v>
      </c>
      <c r="C62" s="3">
        <f t="shared" si="3"/>
        <v>1</v>
      </c>
      <c r="D62" s="4">
        <v>359981.9</v>
      </c>
      <c r="E62" s="2">
        <f>GVA_B_C[[#This Row],[Q_GVA_2020]]/D61</f>
        <v>0.86796398443469436</v>
      </c>
      <c r="F62" s="4" t="str">
        <f>IF(GVA_B_C[[#This Row],[QUARTER]]=4,SUM(D59:D62),"")</f>
        <v/>
      </c>
      <c r="G62" s="2" t="str">
        <f>IF(GVA_B_C[[#This Row],[QUARTER]]=4,GVA_B_C[[#This Row],[A_GVA_2020]]/F58,"")</f>
        <v/>
      </c>
      <c r="H62" s="4">
        <f t="shared" si="0"/>
        <v>482514.92208780721</v>
      </c>
      <c r="I62" s="2">
        <f>GVA_B_C[[#This Row],[Q_REAL_GVA_2020_2024]]/H61</f>
        <v>0.86796398443469425</v>
      </c>
      <c r="J62" s="4" t="str">
        <f>IF(GVA_B_C[[#This Row],[QUARTER]]=4,SUM(H59:H62),"")</f>
        <v/>
      </c>
      <c r="K62" s="2" t="str">
        <f>IF(GVA_B_C[[#This Row],[QUARTER]]=4,GVA_B_C[[#This Row],[A_REAL_GVA_2020_2024]]/J58,"")</f>
        <v/>
      </c>
      <c r="L62" s="4">
        <f t="shared" si="1"/>
        <v>325838.72800321004</v>
      </c>
      <c r="M62" s="2">
        <f>GVA_B_C[[#This Row],[Q_REAL_GVA_2020_2015]]/L61</f>
        <v>0.86796398443469447</v>
      </c>
      <c r="N62" s="4" t="str">
        <f>IF(GVA_B_C[[#This Row],[QUARTER]]=4,SUM(L59:L62),"")</f>
        <v/>
      </c>
      <c r="O62" s="2" t="str">
        <f>IF(GVA_B_C[[#This Row],[QUARTER]]=4,GVA_B_C[[#This Row],[A_REAL_GVA_2020_2015]]/N58,"")</f>
        <v/>
      </c>
    </row>
    <row r="63" spans="1:15" x14ac:dyDescent="0.2">
      <c r="A63" s="1" t="s">
        <v>64</v>
      </c>
      <c r="B63" s="3">
        <f t="shared" si="2"/>
        <v>2010</v>
      </c>
      <c r="C63" s="3">
        <f t="shared" si="3"/>
        <v>2</v>
      </c>
      <c r="D63" s="4">
        <v>366090.6</v>
      </c>
      <c r="E63" s="2">
        <f>GVA_B_C[[#This Row],[Q_GVA_2020]]/D62</f>
        <v>1.016969464298066</v>
      </c>
      <c r="F63" s="4" t="str">
        <f>IF(GVA_B_C[[#This Row],[QUARTER]]=4,SUM(D60:D63),"")</f>
        <v/>
      </c>
      <c r="G63" s="2" t="str">
        <f>IF(GVA_B_C[[#This Row],[QUARTER]]=4,GVA_B_C[[#This Row],[A_GVA_2020]]/F59,"")</f>
        <v/>
      </c>
      <c r="H63" s="4">
        <f t="shared" si="0"/>
        <v>490702.94183146034</v>
      </c>
      <c r="I63" s="2">
        <f>GVA_B_C[[#This Row],[Q_REAL_GVA_2020_2024]]/H62</f>
        <v>1.016969464298066</v>
      </c>
      <c r="J63" s="4" t="str">
        <f>IF(GVA_B_C[[#This Row],[QUARTER]]=4,SUM(H60:H63),"")</f>
        <v/>
      </c>
      <c r="K63" s="2" t="str">
        <f>IF(GVA_B_C[[#This Row],[QUARTER]]=4,GVA_B_C[[#This Row],[A_REAL_GVA_2020_2024]]/J59,"")</f>
        <v/>
      </c>
      <c r="L63" s="4">
        <f t="shared" si="1"/>
        <v>331368.03666498774</v>
      </c>
      <c r="M63" s="2">
        <f>GVA_B_C[[#This Row],[Q_REAL_GVA_2020_2015]]/L62</f>
        <v>1.016969464298066</v>
      </c>
      <c r="N63" s="4" t="str">
        <f>IF(GVA_B_C[[#This Row],[QUARTER]]=4,SUM(L60:L63),"")</f>
        <v/>
      </c>
      <c r="O63" s="2" t="str">
        <f>IF(GVA_B_C[[#This Row],[QUARTER]]=4,GVA_B_C[[#This Row],[A_REAL_GVA_2020_2015]]/N59,"")</f>
        <v/>
      </c>
    </row>
    <row r="64" spans="1:15" x14ac:dyDescent="0.2">
      <c r="A64" s="1" t="s">
        <v>65</v>
      </c>
      <c r="B64" s="3">
        <f t="shared" si="2"/>
        <v>2010</v>
      </c>
      <c r="C64" s="3">
        <f t="shared" si="3"/>
        <v>3</v>
      </c>
      <c r="D64" s="4">
        <v>368878.5</v>
      </c>
      <c r="E64" s="2">
        <f>GVA_B_C[[#This Row],[Q_GVA_2020]]/D63</f>
        <v>1.0076153280089684</v>
      </c>
      <c r="F64" s="4" t="str">
        <f>IF(GVA_B_C[[#This Row],[QUARTER]]=4,SUM(D61:D64),"")</f>
        <v/>
      </c>
      <c r="G64" s="2" t="str">
        <f>IF(GVA_B_C[[#This Row],[QUARTER]]=4,GVA_B_C[[#This Row],[A_GVA_2020]]/F60,"")</f>
        <v/>
      </c>
      <c r="H64" s="4">
        <f t="shared" si="0"/>
        <v>494439.80568847264</v>
      </c>
      <c r="I64" s="2">
        <f>GVA_B_C[[#This Row],[Q_REAL_GVA_2020_2024]]/H63</f>
        <v>1.0076153280089684</v>
      </c>
      <c r="J64" s="4" t="str">
        <f>IF(GVA_B_C[[#This Row],[QUARTER]]=4,SUM(H61:H64),"")</f>
        <v/>
      </c>
      <c r="K64" s="2" t="str">
        <f>IF(GVA_B_C[[#This Row],[QUARTER]]=4,GVA_B_C[[#This Row],[A_REAL_GVA_2020_2024]]/J60,"")</f>
        <v/>
      </c>
      <c r="L64" s="4">
        <f t="shared" si="1"/>
        <v>333891.5129558795</v>
      </c>
      <c r="M64" s="2">
        <f>GVA_B_C[[#This Row],[Q_REAL_GVA_2020_2015]]/L63</f>
        <v>1.0076153280089684</v>
      </c>
      <c r="N64" s="4" t="str">
        <f>IF(GVA_B_C[[#This Row],[QUARTER]]=4,SUM(L61:L64),"")</f>
        <v/>
      </c>
      <c r="O64" s="2" t="str">
        <f>IF(GVA_B_C[[#This Row],[QUARTER]]=4,GVA_B_C[[#This Row],[A_REAL_GVA_2020_2015]]/N60,"")</f>
        <v/>
      </c>
    </row>
    <row r="65" spans="1:15" x14ac:dyDescent="0.2">
      <c r="A65" s="1" t="s">
        <v>66</v>
      </c>
      <c r="B65" s="3">
        <f t="shared" si="2"/>
        <v>2010</v>
      </c>
      <c r="C65" s="3">
        <f t="shared" si="3"/>
        <v>4</v>
      </c>
      <c r="D65" s="4">
        <v>429162.2</v>
      </c>
      <c r="E65" s="2">
        <f>GVA_B_C[[#This Row],[Q_GVA_2020]]/D64</f>
        <v>1.1634242711353469</v>
      </c>
      <c r="F65" s="4">
        <f>IF(GVA_B_C[[#This Row],[QUARTER]]=4,SUM(D62:D65),"")</f>
        <v>1524113.2</v>
      </c>
      <c r="G65" s="2">
        <f>IF(GVA_B_C[[#This Row],[QUARTER]]=4,GVA_B_C[[#This Row],[A_GVA_2020]]/F61,"")</f>
        <v>1.031149567216588</v>
      </c>
      <c r="H65" s="4">
        <f t="shared" si="0"/>
        <v>575243.27055341378</v>
      </c>
      <c r="I65" s="2">
        <f>GVA_B_C[[#This Row],[Q_REAL_GVA_2020_2024]]/H64</f>
        <v>1.1634242711353469</v>
      </c>
      <c r="J65" s="4">
        <f>IF(GVA_B_C[[#This Row],[QUARTER]]=4,SUM(H62:H65),"")</f>
        <v>2042900.9401611539</v>
      </c>
      <c r="K65" s="2">
        <f>IF(GVA_B_C[[#This Row],[QUARTER]]=4,GVA_B_C[[#This Row],[A_REAL_GVA_2020_2024]]/J61,"")</f>
        <v>1.0311495672165878</v>
      </c>
      <c r="L65" s="4">
        <f t="shared" si="1"/>
        <v>388457.49009897234</v>
      </c>
      <c r="M65" s="2">
        <f>GVA_B_C[[#This Row],[Q_REAL_GVA_2020_2015]]/L64</f>
        <v>1.1634242711353469</v>
      </c>
      <c r="N65" s="4">
        <f>IF(GVA_B_C[[#This Row],[QUARTER]]=4,SUM(L62:L65),"")</f>
        <v>1379555.7677230497</v>
      </c>
      <c r="O65" s="2">
        <f>IF(GVA_B_C[[#This Row],[QUARTER]]=4,GVA_B_C[[#This Row],[A_REAL_GVA_2020_2015]]/N61,"")</f>
        <v>1.0311495672165882</v>
      </c>
    </row>
    <row r="66" spans="1:15" x14ac:dyDescent="0.2">
      <c r="A66" s="1" t="s">
        <v>67</v>
      </c>
      <c r="B66" s="3">
        <f t="shared" si="2"/>
        <v>2011</v>
      </c>
      <c r="C66" s="3">
        <f t="shared" si="3"/>
        <v>1</v>
      </c>
      <c r="D66" s="4">
        <v>373255</v>
      </c>
      <c r="E66" s="2">
        <f>GVA_B_C[[#This Row],[Q_GVA_2020]]/D65</f>
        <v>0.86972944029087373</v>
      </c>
      <c r="F66" s="4" t="str">
        <f>IF(GVA_B_C[[#This Row],[QUARTER]]=4,SUM(D63:D66),"")</f>
        <v/>
      </c>
      <c r="G66" s="2" t="str">
        <f>IF(GVA_B_C[[#This Row],[QUARTER]]=4,GVA_B_C[[#This Row],[A_GVA_2020]]/F62,"")</f>
        <v/>
      </c>
      <c r="H66" s="4">
        <f t="shared" ref="H66:H116" si="4">H67/E67</f>
        <v>500306.00772951223</v>
      </c>
      <c r="I66" s="2">
        <f>GVA_B_C[[#This Row],[Q_REAL_GVA_2020_2024]]/H65</f>
        <v>0.86972944029087373</v>
      </c>
      <c r="J66" s="4" t="str">
        <f>IF(GVA_B_C[[#This Row],[QUARTER]]=4,SUM(H63:H66),"")</f>
        <v/>
      </c>
      <c r="K66" s="2" t="str">
        <f>IF(GVA_B_C[[#This Row],[QUARTER]]=4,GVA_B_C[[#This Row],[A_REAL_GVA_2020_2024]]/J62,"")</f>
        <v/>
      </c>
      <c r="L66" s="4">
        <f t="shared" ref="L66:L80" si="5">L67/E67</f>
        <v>337852.91544057685</v>
      </c>
      <c r="M66" s="2">
        <f>GVA_B_C[[#This Row],[Q_REAL_GVA_2020_2015]]/L65</f>
        <v>0.86972944029087373</v>
      </c>
      <c r="N66" s="4" t="str">
        <f>IF(GVA_B_C[[#This Row],[QUARTER]]=4,SUM(L63:L66),"")</f>
        <v/>
      </c>
      <c r="O66" s="2" t="str">
        <f>IF(GVA_B_C[[#This Row],[QUARTER]]=4,GVA_B_C[[#This Row],[A_REAL_GVA_2020_2015]]/N62,"")</f>
        <v/>
      </c>
    </row>
    <row r="67" spans="1:15" x14ac:dyDescent="0.2">
      <c r="A67" s="1" t="s">
        <v>68</v>
      </c>
      <c r="B67" s="3">
        <f t="shared" si="2"/>
        <v>2011</v>
      </c>
      <c r="C67" s="3">
        <f t="shared" si="3"/>
        <v>2</v>
      </c>
      <c r="D67" s="4">
        <v>385572.6</v>
      </c>
      <c r="E67" s="2">
        <f>GVA_B_C[[#This Row],[Q_GVA_2020]]/D66</f>
        <v>1.0330004956397101</v>
      </c>
      <c r="F67" s="4" t="str">
        <f>IF(GVA_B_C[[#This Row],[QUARTER]]=4,SUM(D64:D67),"")</f>
        <v/>
      </c>
      <c r="G67" s="2" t="str">
        <f>IF(GVA_B_C[[#This Row],[QUARTER]]=4,GVA_B_C[[#This Row],[A_GVA_2020]]/F63,"")</f>
        <v/>
      </c>
      <c r="H67" s="4">
        <f t="shared" si="4"/>
        <v>516816.35395611078</v>
      </c>
      <c r="I67" s="2">
        <f>GVA_B_C[[#This Row],[Q_REAL_GVA_2020_2024]]/H66</f>
        <v>1.0330004956397101</v>
      </c>
      <c r="J67" s="4" t="str">
        <f>IF(GVA_B_C[[#This Row],[QUARTER]]=4,SUM(H64:H67),"")</f>
        <v/>
      </c>
      <c r="K67" s="2" t="str">
        <f>IF(GVA_B_C[[#This Row],[QUARTER]]=4,GVA_B_C[[#This Row],[A_REAL_GVA_2020_2024]]/J63,"")</f>
        <v/>
      </c>
      <c r="L67" s="4">
        <f t="shared" si="5"/>
        <v>349002.22910343693</v>
      </c>
      <c r="M67" s="2">
        <f>GVA_B_C[[#This Row],[Q_REAL_GVA_2020_2015]]/L66</f>
        <v>1.0330004956397101</v>
      </c>
      <c r="N67" s="4" t="str">
        <f>IF(GVA_B_C[[#This Row],[QUARTER]]=4,SUM(L64:L67),"")</f>
        <v/>
      </c>
      <c r="O67" s="2" t="str">
        <f>IF(GVA_B_C[[#This Row],[QUARTER]]=4,GVA_B_C[[#This Row],[A_REAL_GVA_2020_2015]]/N63,"")</f>
        <v/>
      </c>
    </row>
    <row r="68" spans="1:15" x14ac:dyDescent="0.2">
      <c r="A68" s="1" t="s">
        <v>69</v>
      </c>
      <c r="B68" s="3">
        <f t="shared" si="2"/>
        <v>2011</v>
      </c>
      <c r="C68" s="3">
        <f t="shared" si="3"/>
        <v>3</v>
      </c>
      <c r="D68" s="4">
        <v>392485.1</v>
      </c>
      <c r="E68" s="2">
        <f>GVA_B_C[[#This Row],[Q_GVA_2020]]/D67</f>
        <v>1.0179278818048794</v>
      </c>
      <c r="F68" s="4" t="str">
        <f>IF(GVA_B_C[[#This Row],[QUARTER]]=4,SUM(D65:D68),"")</f>
        <v/>
      </c>
      <c r="G68" s="2" t="str">
        <f>IF(GVA_B_C[[#This Row],[QUARTER]]=4,GVA_B_C[[#This Row],[A_GVA_2020]]/F64,"")</f>
        <v/>
      </c>
      <c r="H68" s="4">
        <f t="shared" si="4"/>
        <v>526081.77646466461</v>
      </c>
      <c r="I68" s="2">
        <f>GVA_B_C[[#This Row],[Q_REAL_GVA_2020_2024]]/H67</f>
        <v>1.0179278818048794</v>
      </c>
      <c r="J68" s="4" t="str">
        <f>IF(GVA_B_C[[#This Row],[QUARTER]]=4,SUM(H65:H68),"")</f>
        <v/>
      </c>
      <c r="K68" s="2" t="str">
        <f>IF(GVA_B_C[[#This Row],[QUARTER]]=4,GVA_B_C[[#This Row],[A_REAL_GVA_2020_2024]]/J64,"")</f>
        <v/>
      </c>
      <c r="L68" s="4">
        <f t="shared" si="5"/>
        <v>355259.09981644276</v>
      </c>
      <c r="M68" s="2">
        <f>GVA_B_C[[#This Row],[Q_REAL_GVA_2020_2015]]/L67</f>
        <v>1.0179278818048794</v>
      </c>
      <c r="N68" s="4" t="str">
        <f>IF(GVA_B_C[[#This Row],[QUARTER]]=4,SUM(L65:L68),"")</f>
        <v/>
      </c>
      <c r="O68" s="2" t="str">
        <f>IF(GVA_B_C[[#This Row],[QUARTER]]=4,GVA_B_C[[#This Row],[A_REAL_GVA_2020_2015]]/N64,"")</f>
        <v/>
      </c>
    </row>
    <row r="69" spans="1:15" x14ac:dyDescent="0.2">
      <c r="A69" s="1" t="s">
        <v>70</v>
      </c>
      <c r="B69" s="3">
        <f t="shared" si="2"/>
        <v>2011</v>
      </c>
      <c r="C69" s="3">
        <f t="shared" si="3"/>
        <v>4</v>
      </c>
      <c r="D69" s="4">
        <v>451985.2</v>
      </c>
      <c r="E69" s="2">
        <f>GVA_B_C[[#This Row],[Q_GVA_2020]]/D68</f>
        <v>1.1515983664093237</v>
      </c>
      <c r="F69" s="4">
        <f>IF(GVA_B_C[[#This Row],[QUARTER]]=4,SUM(D66:D69),"")</f>
        <v>1603297.9</v>
      </c>
      <c r="G69" s="2">
        <f>IF(GVA_B_C[[#This Row],[QUARTER]]=4,GVA_B_C[[#This Row],[A_GVA_2020]]/F65,"")</f>
        <v>1.0519546054715621</v>
      </c>
      <c r="H69" s="4">
        <f t="shared" si="4"/>
        <v>605834.91437442275</v>
      </c>
      <c r="I69" s="2">
        <f>GVA_B_C[[#This Row],[Q_REAL_GVA_2020_2024]]/H68</f>
        <v>1.1515983664093237</v>
      </c>
      <c r="J69" s="4">
        <f>IF(GVA_B_C[[#This Row],[QUARTER]]=4,SUM(H66:H69),"")</f>
        <v>2149039.0525247101</v>
      </c>
      <c r="K69" s="2">
        <f>IF(GVA_B_C[[#This Row],[QUARTER]]=4,GVA_B_C[[#This Row],[A_REAL_GVA_2020_2024]]/J65,"")</f>
        <v>1.0519546054715621</v>
      </c>
      <c r="L69" s="4">
        <f t="shared" si="5"/>
        <v>409115.79900066234</v>
      </c>
      <c r="M69" s="2">
        <f>GVA_B_C[[#This Row],[Q_REAL_GVA_2020_2015]]/L68</f>
        <v>1.1515983664093237</v>
      </c>
      <c r="N69" s="4">
        <f>IF(GVA_B_C[[#This Row],[QUARTER]]=4,SUM(L66:L69),"")</f>
        <v>1451230.0433611188</v>
      </c>
      <c r="O69" s="2">
        <f>IF(GVA_B_C[[#This Row],[QUARTER]]=4,GVA_B_C[[#This Row],[A_REAL_GVA_2020_2015]]/N65,"")</f>
        <v>1.0519546054715621</v>
      </c>
    </row>
    <row r="70" spans="1:15" x14ac:dyDescent="0.2">
      <c r="A70" s="1" t="s">
        <v>71</v>
      </c>
      <c r="B70" s="3">
        <f t="shared" si="2"/>
        <v>2012</v>
      </c>
      <c r="C70" s="3">
        <f t="shared" si="3"/>
        <v>1</v>
      </c>
      <c r="D70" s="4">
        <v>384601.3</v>
      </c>
      <c r="E70" s="2">
        <f>GVA_B_C[[#This Row],[Q_GVA_2020]]/D69</f>
        <v>0.85091569369970521</v>
      </c>
      <c r="F70" s="4" t="str">
        <f>IF(GVA_B_C[[#This Row],[QUARTER]]=4,SUM(D67:D70),"")</f>
        <v/>
      </c>
      <c r="G70" s="2" t="str">
        <f>IF(GVA_B_C[[#This Row],[QUARTER]]=4,GVA_B_C[[#This Row],[A_GVA_2020]]/F66,"")</f>
        <v/>
      </c>
      <c r="H70" s="4">
        <f t="shared" si="4"/>
        <v>515514.43643241347</v>
      </c>
      <c r="I70" s="2">
        <f>GVA_B_C[[#This Row],[Q_REAL_GVA_2020_2024]]/H69</f>
        <v>0.85091569369970521</v>
      </c>
      <c r="J70" s="4" t="str">
        <f>IF(GVA_B_C[[#This Row],[QUARTER]]=4,SUM(H67:H70),"")</f>
        <v/>
      </c>
      <c r="K70" s="2" t="str">
        <f>IF(GVA_B_C[[#This Row],[QUARTER]]=4,GVA_B_C[[#This Row],[A_REAL_GVA_2020_2024]]/J66,"")</f>
        <v/>
      </c>
      <c r="L70" s="4">
        <f t="shared" si="5"/>
        <v>348123.05391015776</v>
      </c>
      <c r="M70" s="2">
        <f>GVA_B_C[[#This Row],[Q_REAL_GVA_2020_2015]]/L69</f>
        <v>0.85091569369970521</v>
      </c>
      <c r="N70" s="4" t="str">
        <f>IF(GVA_B_C[[#This Row],[QUARTER]]=4,SUM(L67:L70),"")</f>
        <v/>
      </c>
      <c r="O70" s="2" t="str">
        <f>IF(GVA_B_C[[#This Row],[QUARTER]]=4,GVA_B_C[[#This Row],[A_REAL_GVA_2020_2015]]/N66,"")</f>
        <v/>
      </c>
    </row>
    <row r="71" spans="1:15" x14ac:dyDescent="0.2">
      <c r="A71" s="1" t="s">
        <v>72</v>
      </c>
      <c r="B71" s="3">
        <f t="shared" ref="B71:B124" si="6">B67+1</f>
        <v>2012</v>
      </c>
      <c r="C71" s="3">
        <f t="shared" ref="C71:C124" si="7">C67</f>
        <v>2</v>
      </c>
      <c r="D71" s="4">
        <v>391855.4</v>
      </c>
      <c r="E71" s="2">
        <f>GVA_B_C[[#This Row],[Q_GVA_2020]]/D70</f>
        <v>1.0188613507026629</v>
      </c>
      <c r="F71" s="4" t="str">
        <f>IF(GVA_B_C[[#This Row],[QUARTER]]=4,SUM(D68:D71),"")</f>
        <v/>
      </c>
      <c r="G71" s="2" t="str">
        <f>IF(GVA_B_C[[#This Row],[QUARTER]]=4,GVA_B_C[[#This Row],[A_GVA_2020]]/F67,"")</f>
        <v/>
      </c>
      <c r="H71" s="4">
        <f t="shared" si="4"/>
        <v>525237.73501025082</v>
      </c>
      <c r="I71" s="2">
        <f>GVA_B_C[[#This Row],[Q_REAL_GVA_2020_2024]]/H70</f>
        <v>1.0188613507026629</v>
      </c>
      <c r="J71" s="4" t="str">
        <f>IF(GVA_B_C[[#This Row],[QUARTER]]=4,SUM(H68:H71),"")</f>
        <v/>
      </c>
      <c r="K71" s="2" t="str">
        <f>IF(GVA_B_C[[#This Row],[QUARTER]]=4,GVA_B_C[[#This Row],[A_REAL_GVA_2020_2024]]/J67,"")</f>
        <v/>
      </c>
      <c r="L71" s="4">
        <f t="shared" si="5"/>
        <v>354689.1249176393</v>
      </c>
      <c r="M71" s="2">
        <f>GVA_B_C[[#This Row],[Q_REAL_GVA_2020_2015]]/L70</f>
        <v>1.0188613507026629</v>
      </c>
      <c r="N71" s="4" t="str">
        <f>IF(GVA_B_C[[#This Row],[QUARTER]]=4,SUM(L68:L71),"")</f>
        <v/>
      </c>
      <c r="O71" s="2" t="str">
        <f>IF(GVA_B_C[[#This Row],[QUARTER]]=4,GVA_B_C[[#This Row],[A_REAL_GVA_2020_2015]]/N67,"")</f>
        <v/>
      </c>
    </row>
    <row r="72" spans="1:15" x14ac:dyDescent="0.2">
      <c r="A72" s="1" t="s">
        <v>73</v>
      </c>
      <c r="B72" s="3">
        <f t="shared" si="6"/>
        <v>2012</v>
      </c>
      <c r="C72" s="3">
        <f t="shared" si="7"/>
        <v>3</v>
      </c>
      <c r="D72" s="4">
        <v>396815.7</v>
      </c>
      <c r="E72" s="2">
        <f>GVA_B_C[[#This Row],[Q_GVA_2020]]/D71</f>
        <v>1.0126584959656035</v>
      </c>
      <c r="F72" s="4" t="str">
        <f>IF(GVA_B_C[[#This Row],[QUARTER]]=4,SUM(D69:D72),"")</f>
        <v/>
      </c>
      <c r="G72" s="2" t="str">
        <f>IF(GVA_B_C[[#This Row],[QUARTER]]=4,GVA_B_C[[#This Row],[A_GVA_2020]]/F68,"")</f>
        <v/>
      </c>
      <c r="H72" s="4">
        <f t="shared" si="4"/>
        <v>531886.45475986088</v>
      </c>
      <c r="I72" s="2">
        <f>GVA_B_C[[#This Row],[Q_REAL_GVA_2020_2024]]/H71</f>
        <v>1.0126584959656038</v>
      </c>
      <c r="J72" s="4" t="str">
        <f>IF(GVA_B_C[[#This Row],[QUARTER]]=4,SUM(H69:H72),"")</f>
        <v/>
      </c>
      <c r="K72" s="2" t="str">
        <f>IF(GVA_B_C[[#This Row],[QUARTER]]=4,GVA_B_C[[#This Row],[A_REAL_GVA_2020_2024]]/J68,"")</f>
        <v/>
      </c>
      <c r="L72" s="4">
        <f t="shared" si="5"/>
        <v>359178.95577445271</v>
      </c>
      <c r="M72" s="2">
        <f>GVA_B_C[[#This Row],[Q_REAL_GVA_2020_2015]]/L71</f>
        <v>1.0126584959656035</v>
      </c>
      <c r="N72" s="4" t="str">
        <f>IF(GVA_B_C[[#This Row],[QUARTER]]=4,SUM(L69:L72),"")</f>
        <v/>
      </c>
      <c r="O72" s="2" t="str">
        <f>IF(GVA_B_C[[#This Row],[QUARTER]]=4,GVA_B_C[[#This Row],[A_REAL_GVA_2020_2015]]/N68,"")</f>
        <v/>
      </c>
    </row>
    <row r="73" spans="1:15" x14ac:dyDescent="0.2">
      <c r="A73" s="1" t="s">
        <v>74</v>
      </c>
      <c r="B73" s="3">
        <f t="shared" si="6"/>
        <v>2012</v>
      </c>
      <c r="C73" s="3">
        <f t="shared" si="7"/>
        <v>4</v>
      </c>
      <c r="D73" s="4">
        <v>451541.3</v>
      </c>
      <c r="E73" s="2">
        <f>GVA_B_C[[#This Row],[Q_GVA_2020]]/D72</f>
        <v>1.1379118820147489</v>
      </c>
      <c r="F73" s="4">
        <f>IF(GVA_B_C[[#This Row],[QUARTER]]=4,SUM(D70:D73),"")</f>
        <v>1624813.7</v>
      </c>
      <c r="G73" s="2">
        <f>IF(GVA_B_C[[#This Row],[QUARTER]]=4,GVA_B_C[[#This Row],[A_GVA_2020]]/F69,"")</f>
        <v>1.0134197144523174</v>
      </c>
      <c r="H73" s="4">
        <f t="shared" si="4"/>
        <v>605239.91675394587</v>
      </c>
      <c r="I73" s="2">
        <f>GVA_B_C[[#This Row],[Q_REAL_GVA_2020_2024]]/H72</f>
        <v>1.1379118820147489</v>
      </c>
      <c r="J73" s="4">
        <f>IF(GVA_B_C[[#This Row],[QUARTER]]=4,SUM(H70:H73),"")</f>
        <v>2177878.542956471</v>
      </c>
      <c r="K73" s="2">
        <f>IF(GVA_B_C[[#This Row],[QUARTER]]=4,GVA_B_C[[#This Row],[A_REAL_GVA_2020_2024]]/J69,"")</f>
        <v>1.0134197144523176</v>
      </c>
      <c r="L73" s="4">
        <f t="shared" si="5"/>
        <v>408714.00154539978</v>
      </c>
      <c r="M73" s="2">
        <f>GVA_B_C[[#This Row],[Q_REAL_GVA_2020_2015]]/L72</f>
        <v>1.1379118820147489</v>
      </c>
      <c r="N73" s="4">
        <f>IF(GVA_B_C[[#This Row],[QUARTER]]=4,SUM(L70:L73),"")</f>
        <v>1470705.1361476495</v>
      </c>
      <c r="O73" s="2">
        <f>IF(GVA_B_C[[#This Row],[QUARTER]]=4,GVA_B_C[[#This Row],[A_REAL_GVA_2020_2015]]/N69,"")</f>
        <v>1.0134197144523176</v>
      </c>
    </row>
    <row r="74" spans="1:15" x14ac:dyDescent="0.2">
      <c r="A74" s="1" t="s">
        <v>75</v>
      </c>
      <c r="B74" s="3">
        <f t="shared" si="6"/>
        <v>2013</v>
      </c>
      <c r="C74" s="3">
        <f t="shared" si="7"/>
        <v>1</v>
      </c>
      <c r="D74" s="4">
        <v>381646</v>
      </c>
      <c r="E74" s="2">
        <f>GVA_B_C[[#This Row],[Q_GVA_2020]]/D73</f>
        <v>0.84520729333064326</v>
      </c>
      <c r="F74" s="4" t="str">
        <f>IF(GVA_B_C[[#This Row],[QUARTER]]=4,SUM(D71:D74),"")</f>
        <v/>
      </c>
      <c r="G74" s="2" t="str">
        <f>IF(GVA_B_C[[#This Row],[QUARTER]]=4,GVA_B_C[[#This Row],[A_GVA_2020]]/F70,"")</f>
        <v/>
      </c>
      <c r="H74" s="4">
        <f t="shared" si="4"/>
        <v>511553.1918552664</v>
      </c>
      <c r="I74" s="2">
        <f>GVA_B_C[[#This Row],[Q_REAL_GVA_2020_2024]]/H73</f>
        <v>0.84520729333064315</v>
      </c>
      <c r="J74" s="4" t="str">
        <f>IF(GVA_B_C[[#This Row],[QUARTER]]=4,SUM(H71:H74),"")</f>
        <v/>
      </c>
      <c r="K74" s="2" t="str">
        <f>IF(GVA_B_C[[#This Row],[QUARTER]]=4,GVA_B_C[[#This Row],[A_REAL_GVA_2020_2024]]/J70,"")</f>
        <v/>
      </c>
      <c r="L74" s="4">
        <f t="shared" si="5"/>
        <v>345448.05499252368</v>
      </c>
      <c r="M74" s="2">
        <f>GVA_B_C[[#This Row],[Q_REAL_GVA_2020_2015]]/L73</f>
        <v>0.84520729333064326</v>
      </c>
      <c r="N74" s="4" t="str">
        <f>IF(GVA_B_C[[#This Row],[QUARTER]]=4,SUM(L71:L74),"")</f>
        <v/>
      </c>
      <c r="O74" s="2" t="str">
        <f>IF(GVA_B_C[[#This Row],[QUARTER]]=4,GVA_B_C[[#This Row],[A_REAL_GVA_2020_2015]]/N70,"")</f>
        <v/>
      </c>
    </row>
    <row r="75" spans="1:15" x14ac:dyDescent="0.2">
      <c r="A75" s="1" t="s">
        <v>76</v>
      </c>
      <c r="B75" s="3">
        <f t="shared" si="6"/>
        <v>2013</v>
      </c>
      <c r="C75" s="3">
        <f t="shared" si="7"/>
        <v>2</v>
      </c>
      <c r="D75" s="4">
        <v>395910.5</v>
      </c>
      <c r="E75" s="2">
        <f>GVA_B_C[[#This Row],[Q_GVA_2020]]/D74</f>
        <v>1.0373762596751963</v>
      </c>
      <c r="F75" s="4" t="str">
        <f>IF(GVA_B_C[[#This Row],[QUARTER]]=4,SUM(D72:D75),"")</f>
        <v/>
      </c>
      <c r="G75" s="2" t="str">
        <f>IF(GVA_B_C[[#This Row],[QUARTER]]=4,GVA_B_C[[#This Row],[A_GVA_2020]]/F71,"")</f>
        <v/>
      </c>
      <c r="H75" s="4">
        <f t="shared" si="4"/>
        <v>530673.13679172436</v>
      </c>
      <c r="I75" s="2">
        <f>GVA_B_C[[#This Row],[Q_REAL_GVA_2020_2024]]/H74</f>
        <v>1.0373762596751963</v>
      </c>
      <c r="J75" s="4" t="str">
        <f>IF(GVA_B_C[[#This Row],[QUARTER]]=4,SUM(H72:H75),"")</f>
        <v/>
      </c>
      <c r="K75" s="2" t="str">
        <f>IF(GVA_B_C[[#This Row],[QUARTER]]=4,GVA_B_C[[#This Row],[A_REAL_GVA_2020_2024]]/J71,"")</f>
        <v/>
      </c>
      <c r="L75" s="4">
        <f t="shared" si="5"/>
        <v>358359.61120021576</v>
      </c>
      <c r="M75" s="2">
        <f>GVA_B_C[[#This Row],[Q_REAL_GVA_2020_2015]]/L74</f>
        <v>1.0373762596751963</v>
      </c>
      <c r="N75" s="4" t="str">
        <f>IF(GVA_B_C[[#This Row],[QUARTER]]=4,SUM(L72:L75),"")</f>
        <v/>
      </c>
      <c r="O75" s="2" t="str">
        <f>IF(GVA_B_C[[#This Row],[QUARTER]]=4,GVA_B_C[[#This Row],[A_REAL_GVA_2020_2015]]/N71,"")</f>
        <v/>
      </c>
    </row>
    <row r="76" spans="1:15" x14ac:dyDescent="0.2">
      <c r="A76" s="1" t="s">
        <v>77</v>
      </c>
      <c r="B76" s="3">
        <f t="shared" si="6"/>
        <v>2013</v>
      </c>
      <c r="C76" s="3">
        <f t="shared" si="7"/>
        <v>3</v>
      </c>
      <c r="D76" s="4">
        <v>401009.3</v>
      </c>
      <c r="E76" s="2">
        <f>GVA_B_C[[#This Row],[Q_GVA_2020]]/D75</f>
        <v>1.0128786682848774</v>
      </c>
      <c r="F76" s="4" t="str">
        <f>IF(GVA_B_C[[#This Row],[QUARTER]]=4,SUM(D73:D76),"")</f>
        <v/>
      </c>
      <c r="G76" s="2" t="str">
        <f>IF(GVA_B_C[[#This Row],[QUARTER]]=4,GVA_B_C[[#This Row],[A_GVA_2020]]/F72,"")</f>
        <v/>
      </c>
      <c r="H76" s="4">
        <f t="shared" si="4"/>
        <v>537507.50008816039</v>
      </c>
      <c r="I76" s="2">
        <f>GVA_B_C[[#This Row],[Q_REAL_GVA_2020_2024]]/H75</f>
        <v>1.0128786682848774</v>
      </c>
      <c r="J76" s="4" t="str">
        <f>IF(GVA_B_C[[#This Row],[QUARTER]]=4,SUM(H73:H76),"")</f>
        <v/>
      </c>
      <c r="K76" s="2" t="str">
        <f>IF(GVA_B_C[[#This Row],[QUARTER]]=4,GVA_B_C[[#This Row],[A_REAL_GVA_2020_2024]]/J72,"")</f>
        <v/>
      </c>
      <c r="L76" s="4">
        <f t="shared" si="5"/>
        <v>362974.80575956096</v>
      </c>
      <c r="M76" s="2">
        <f>GVA_B_C[[#This Row],[Q_REAL_GVA_2020_2015]]/L75</f>
        <v>1.0128786682848774</v>
      </c>
      <c r="N76" s="4" t="str">
        <f>IF(GVA_B_C[[#This Row],[QUARTER]]=4,SUM(L73:L76),"")</f>
        <v/>
      </c>
      <c r="O76" s="2" t="str">
        <f>IF(GVA_B_C[[#This Row],[QUARTER]]=4,GVA_B_C[[#This Row],[A_REAL_GVA_2020_2015]]/N72,"")</f>
        <v/>
      </c>
    </row>
    <row r="77" spans="1:15" x14ac:dyDescent="0.2">
      <c r="A77" s="1" t="s">
        <v>78</v>
      </c>
      <c r="B77" s="3">
        <f t="shared" si="6"/>
        <v>2013</v>
      </c>
      <c r="C77" s="3">
        <f t="shared" si="7"/>
        <v>4</v>
      </c>
      <c r="D77" s="4">
        <v>456114</v>
      </c>
      <c r="E77" s="2">
        <f>GVA_B_C[[#This Row],[Q_GVA_2020]]/D76</f>
        <v>1.1374150175569495</v>
      </c>
      <c r="F77" s="4">
        <f>IF(GVA_B_C[[#This Row],[QUARTER]]=4,SUM(D74:D77),"")</f>
        <v>1634679.8</v>
      </c>
      <c r="G77" s="2">
        <f>IF(GVA_B_C[[#This Row],[QUARTER]]=4,GVA_B_C[[#This Row],[A_GVA_2020]]/F73,"")</f>
        <v>1.0060721423016068</v>
      </c>
      <c r="H77" s="4">
        <f t="shared" si="4"/>
        <v>611369.10264976695</v>
      </c>
      <c r="I77" s="2">
        <f>GVA_B_C[[#This Row],[Q_REAL_GVA_2020_2024]]/H76</f>
        <v>1.1374150175569495</v>
      </c>
      <c r="J77" s="4">
        <f>IF(GVA_B_C[[#This Row],[QUARTER]]=4,SUM(H74:H77),"")</f>
        <v>2191102.9313849183</v>
      </c>
      <c r="K77" s="2">
        <f>IF(GVA_B_C[[#This Row],[QUARTER]]=4,GVA_B_C[[#This Row],[A_REAL_GVA_2020_2024]]/J73,"")</f>
        <v>1.0060721423016066</v>
      </c>
      <c r="L77" s="4">
        <f t="shared" si="5"/>
        <v>412852.99506574136</v>
      </c>
      <c r="M77" s="2">
        <f>GVA_B_C[[#This Row],[Q_REAL_GVA_2020_2015]]/L76</f>
        <v>1.1374150175569495</v>
      </c>
      <c r="N77" s="4">
        <f>IF(GVA_B_C[[#This Row],[QUARTER]]=4,SUM(L74:L77),"")</f>
        <v>1479635.4670180418</v>
      </c>
      <c r="O77" s="2">
        <f>IF(GVA_B_C[[#This Row],[QUARTER]]=4,GVA_B_C[[#This Row],[A_REAL_GVA_2020_2015]]/N73,"")</f>
        <v>1.0060721423016066</v>
      </c>
    </row>
    <row r="78" spans="1:15" x14ac:dyDescent="0.2">
      <c r="A78" s="1" t="s">
        <v>79</v>
      </c>
      <c r="B78" s="3">
        <f t="shared" si="6"/>
        <v>2014</v>
      </c>
      <c r="C78" s="3">
        <f t="shared" si="7"/>
        <v>1</v>
      </c>
      <c r="D78" s="4">
        <v>397818.6</v>
      </c>
      <c r="E78" s="2">
        <f>GVA_B_C[[#This Row],[Q_GVA_2020]]/D77</f>
        <v>0.8721911627356318</v>
      </c>
      <c r="F78" s="4" t="str">
        <f>IF(GVA_B_C[[#This Row],[QUARTER]]=4,SUM(D75:D78),"")</f>
        <v/>
      </c>
      <c r="G78" s="2" t="str">
        <f>IF(GVA_B_C[[#This Row],[QUARTER]]=4,GVA_B_C[[#This Row],[A_GVA_2020]]/F74,"")</f>
        <v/>
      </c>
      <c r="H78" s="4">
        <f t="shared" si="4"/>
        <v>533230.72850074002</v>
      </c>
      <c r="I78" s="2">
        <f>GVA_B_C[[#This Row],[Q_REAL_GVA_2020_2024]]/H77</f>
        <v>0.87219116273563169</v>
      </c>
      <c r="J78" s="4" t="str">
        <f>IF(GVA_B_C[[#This Row],[QUARTER]]=4,SUM(H75:H78),"")</f>
        <v/>
      </c>
      <c r="K78" s="2" t="str">
        <f>IF(GVA_B_C[[#This Row],[QUARTER]]=4,GVA_B_C[[#This Row],[A_REAL_GVA_2020_2024]]/J74,"")</f>
        <v/>
      </c>
      <c r="L78" s="4">
        <f t="shared" si="5"/>
        <v>360086.73380527704</v>
      </c>
      <c r="M78" s="2">
        <f>GVA_B_C[[#This Row],[Q_REAL_GVA_2020_2015]]/L77</f>
        <v>0.87219116273563191</v>
      </c>
      <c r="N78" s="4" t="str">
        <f>IF(GVA_B_C[[#This Row],[QUARTER]]=4,SUM(L75:L78),"")</f>
        <v/>
      </c>
      <c r="O78" s="2" t="str">
        <f>IF(GVA_B_C[[#This Row],[QUARTER]]=4,GVA_B_C[[#This Row],[A_REAL_GVA_2020_2015]]/N74,"")</f>
        <v/>
      </c>
    </row>
    <row r="79" spans="1:15" x14ac:dyDescent="0.2">
      <c r="A79" s="1" t="s">
        <v>80</v>
      </c>
      <c r="B79" s="3">
        <f t="shared" si="6"/>
        <v>2014</v>
      </c>
      <c r="C79" s="3">
        <f t="shared" si="7"/>
        <v>2</v>
      </c>
      <c r="D79" s="4">
        <v>409292.5</v>
      </c>
      <c r="E79" s="2">
        <f>GVA_B_C[[#This Row],[Q_GVA_2020]]/D78</f>
        <v>1.0288420400654972</v>
      </c>
      <c r="F79" s="4" t="str">
        <f>IF(GVA_B_C[[#This Row],[QUARTER]]=4,SUM(D76:D79),"")</f>
        <v/>
      </c>
      <c r="G79" s="2" t="str">
        <f>IF(GVA_B_C[[#This Row],[QUARTER]]=4,GVA_B_C[[#This Row],[A_GVA_2020]]/F75,"")</f>
        <v/>
      </c>
      <c r="H79" s="4">
        <f t="shared" si="4"/>
        <v>548610.19053631264</v>
      </c>
      <c r="I79" s="2">
        <f>GVA_B_C[[#This Row],[Q_REAL_GVA_2020_2024]]/H78</f>
        <v>1.0288420400654972</v>
      </c>
      <c r="J79" s="4" t="str">
        <f>IF(GVA_B_C[[#This Row],[QUARTER]]=4,SUM(H76:H79),"")</f>
        <v/>
      </c>
      <c r="K79" s="2" t="str">
        <f>IF(GVA_B_C[[#This Row],[QUARTER]]=4,GVA_B_C[[#This Row],[A_REAL_GVA_2020_2024]]/J75,"")</f>
        <v/>
      </c>
      <c r="L79" s="4">
        <f t="shared" si="5"/>
        <v>370472.36980874283</v>
      </c>
      <c r="M79" s="2">
        <f>GVA_B_C[[#This Row],[Q_REAL_GVA_2020_2015]]/L78</f>
        <v>1.0288420400654972</v>
      </c>
      <c r="N79" s="4" t="str">
        <f>IF(GVA_B_C[[#This Row],[QUARTER]]=4,SUM(L76:L79),"")</f>
        <v/>
      </c>
      <c r="O79" s="2" t="str">
        <f>IF(GVA_B_C[[#This Row],[QUARTER]]=4,GVA_B_C[[#This Row],[A_REAL_GVA_2020_2015]]/N75,"")</f>
        <v/>
      </c>
    </row>
    <row r="80" spans="1:15" x14ac:dyDescent="0.2">
      <c r="A80" s="1" t="s">
        <v>81</v>
      </c>
      <c r="B80" s="3">
        <f t="shared" si="6"/>
        <v>2014</v>
      </c>
      <c r="C80" s="3">
        <f t="shared" si="7"/>
        <v>3</v>
      </c>
      <c r="D80" s="4">
        <v>415962.9</v>
      </c>
      <c r="E80" s="2">
        <f>GVA_B_C[[#This Row],[Q_GVA_2020]]/D79</f>
        <v>1.0162973912299884</v>
      </c>
      <c r="F80" s="4" t="str">
        <f>IF(GVA_B_C[[#This Row],[QUARTER]]=4,SUM(D77:D80),"")</f>
        <v/>
      </c>
      <c r="G80" s="2" t="str">
        <f>IF(GVA_B_C[[#This Row],[QUARTER]]=4,GVA_B_C[[#This Row],[A_GVA_2020]]/F76,"")</f>
        <v/>
      </c>
      <c r="H80" s="4">
        <f t="shared" si="4"/>
        <v>557551.10544424143</v>
      </c>
      <c r="I80" s="2">
        <f>GVA_B_C[[#This Row],[Q_REAL_GVA_2020_2024]]/H79</f>
        <v>1.0162973912299884</v>
      </c>
      <c r="J80" s="4" t="str">
        <f>IF(GVA_B_C[[#This Row],[QUARTER]]=4,SUM(H77:H80),"")</f>
        <v/>
      </c>
      <c r="K80" s="2" t="str">
        <f>IF(GVA_B_C[[#This Row],[QUARTER]]=4,GVA_B_C[[#This Row],[A_REAL_GVA_2020_2024]]/J76,"")</f>
        <v/>
      </c>
      <c r="L80" s="4">
        <f t="shared" si="5"/>
        <v>376510.10295941686</v>
      </c>
      <c r="M80" s="2">
        <f>GVA_B_C[[#This Row],[Q_REAL_GVA_2020_2015]]/L79</f>
        <v>1.0162973912299884</v>
      </c>
      <c r="N80" s="4" t="str">
        <f>IF(GVA_B_C[[#This Row],[QUARTER]]=4,SUM(L77:L80),"")</f>
        <v/>
      </c>
      <c r="O80" s="2" t="str">
        <f>IF(GVA_B_C[[#This Row],[QUARTER]]=4,GVA_B_C[[#This Row],[A_REAL_GVA_2020_2015]]/N76,"")</f>
        <v/>
      </c>
    </row>
    <row r="81" spans="1:17" x14ac:dyDescent="0.2">
      <c r="A81" s="1" t="s">
        <v>82</v>
      </c>
      <c r="B81" s="3">
        <f t="shared" si="6"/>
        <v>2014</v>
      </c>
      <c r="C81" s="3">
        <f t="shared" si="7"/>
        <v>4</v>
      </c>
      <c r="D81" s="4">
        <v>474216.6</v>
      </c>
      <c r="E81" s="2">
        <f>GVA_B_C[[#This Row],[Q_GVA_2020]]/D80</f>
        <v>1.1400454223201155</v>
      </c>
      <c r="F81" s="4">
        <f>IF(GVA_B_C[[#This Row],[QUARTER]]=4,SUM(D78:D81),"")</f>
        <v>1697290.6</v>
      </c>
      <c r="G81" s="2">
        <f>IF(GVA_B_C[[#This Row],[QUARTER]]=4,GVA_B_C[[#This Row],[A_GVA_2020]]/F77,"")</f>
        <v>1.0383015682949039</v>
      </c>
      <c r="H81" s="4">
        <f t="shared" si="4"/>
        <v>635633.58547122753</v>
      </c>
      <c r="I81" s="2">
        <f>GVA_B_C[[#This Row],[Q_REAL_GVA_2020_2024]]/H80</f>
        <v>1.1400454223201155</v>
      </c>
      <c r="J81" s="4">
        <f>IF(GVA_B_C[[#This Row],[QUARTER]]=4,SUM(H78:H81),"")</f>
        <v>2275025.6099525215</v>
      </c>
      <c r="K81" s="2">
        <f>IF(GVA_B_C[[#This Row],[QUARTER]]=4,GVA_B_C[[#This Row],[A_REAL_GVA_2020_2024]]/J77,"")</f>
        <v>1.0383015682949037</v>
      </c>
      <c r="L81" s="4">
        <f>L82/E82</f>
        <v>429238.61933615856</v>
      </c>
      <c r="M81" s="2">
        <f>GVA_B_C[[#This Row],[Q_REAL_GVA_2020_2015]]/L80</f>
        <v>1.1400454223201155</v>
      </c>
      <c r="N81" s="4">
        <f>IF(GVA_B_C[[#This Row],[QUARTER]]=4,SUM(L78:L81),"")</f>
        <v>1536307.8259095952</v>
      </c>
      <c r="O81" s="2">
        <f>IF(GVA_B_C[[#This Row],[QUARTER]]=4,GVA_B_C[[#This Row],[A_REAL_GVA_2020_2015]]/N77,"")</f>
        <v>1.0383015682949039</v>
      </c>
      <c r="Q81" s="6" t="s">
        <v>137</v>
      </c>
    </row>
    <row r="82" spans="1:17" x14ac:dyDescent="0.2">
      <c r="A82" s="1" t="s">
        <v>83</v>
      </c>
      <c r="B82" s="3">
        <f t="shared" si="6"/>
        <v>2015</v>
      </c>
      <c r="C82" s="3">
        <f t="shared" si="7"/>
        <v>1</v>
      </c>
      <c r="D82" s="4">
        <v>411758.2</v>
      </c>
      <c r="E82" s="2">
        <f>GVA_B_C[[#This Row],[Q_GVA_2020]]/D81</f>
        <v>0.86829140945298</v>
      </c>
      <c r="F82" s="4" t="str">
        <f>IF(GVA_B_C[[#This Row],[QUARTER]]=4,SUM(D79:D82),"")</f>
        <v/>
      </c>
      <c r="G82" s="2" t="str">
        <f>IF(GVA_B_C[[#This Row],[QUARTER]]=4,GVA_B_C[[#This Row],[A_GVA_2020]]/F78,"")</f>
        <v/>
      </c>
      <c r="H82" s="4">
        <f t="shared" si="4"/>
        <v>551915.18182446342</v>
      </c>
      <c r="I82" s="2">
        <f>GVA_B_C[[#This Row],[Q_REAL_GVA_2020_2024]]/H81</f>
        <v>0.86829140945298</v>
      </c>
      <c r="J82" s="4" t="str">
        <f>IF(GVA_B_C[[#This Row],[QUARTER]]=4,SUM(H79:H82),"")</f>
        <v/>
      </c>
      <c r="K82" s="2" t="str">
        <f>IF(GVA_B_C[[#This Row],[QUARTER]]=4,GVA_B_C[[#This Row],[A_REAL_GVA_2020_2024]]/J78,"")</f>
        <v/>
      </c>
      <c r="L82" s="5">
        <v>372704.20577504428</v>
      </c>
      <c r="M82" s="2">
        <f>GVA_B_C[[#This Row],[Q_REAL_GVA_2020_2015]]/L81</f>
        <v>0.86829140945298</v>
      </c>
      <c r="N82" s="4" t="str">
        <f>IF(GVA_B_C[[#This Row],[QUARTER]]=4,SUM(L79:L82),"")</f>
        <v/>
      </c>
      <c r="O82" s="2" t="str">
        <f>IF(GVA_B_C[[#This Row],[QUARTER]]=4,GVA_B_C[[#This Row],[A_REAL_GVA_2020_2015]]/N78,"")</f>
        <v/>
      </c>
      <c r="Q82" s="7">
        <f>SUM(L82:L85)-NANA!B22</f>
        <v>0</v>
      </c>
    </row>
    <row r="83" spans="1:17" x14ac:dyDescent="0.2">
      <c r="A83" s="1" t="s">
        <v>84</v>
      </c>
      <c r="B83" s="3">
        <f t="shared" si="6"/>
        <v>2015</v>
      </c>
      <c r="C83" s="3">
        <f t="shared" si="7"/>
        <v>2</v>
      </c>
      <c r="D83" s="4">
        <v>425195.4</v>
      </c>
      <c r="E83" s="2">
        <f>GVA_B_C[[#This Row],[Q_GVA_2020]]/D82</f>
        <v>1.0326337156127068</v>
      </c>
      <c r="F83" s="4" t="str">
        <f>IF(GVA_B_C[[#This Row],[QUARTER]]=4,SUM(D80:D83),"")</f>
        <v/>
      </c>
      <c r="G83" s="2" t="str">
        <f>IF(GVA_B_C[[#This Row],[QUARTER]]=4,GVA_B_C[[#This Row],[A_GVA_2020]]/F79,"")</f>
        <v/>
      </c>
      <c r="H83" s="4">
        <f t="shared" si="4"/>
        <v>569926.22491045832</v>
      </c>
      <c r="I83" s="2">
        <f>GVA_B_C[[#This Row],[Q_REAL_GVA_2020_2024]]/H82</f>
        <v>1.0326337156127068</v>
      </c>
      <c r="J83" s="4" t="str">
        <f>IF(GVA_B_C[[#This Row],[QUARTER]]=4,SUM(H80:H83),"")</f>
        <v/>
      </c>
      <c r="K83" s="2" t="str">
        <f>IF(GVA_B_C[[#This Row],[QUARTER]]=4,GVA_B_C[[#This Row],[A_REAL_GVA_2020_2024]]/J79,"")</f>
        <v/>
      </c>
      <c r="L83" s="4">
        <f>L82*GVA_B_C[[#This Row],[Q_CHAIN_INDEX]]</f>
        <v>384866.92883396684</v>
      </c>
      <c r="M83" s="2">
        <f>GVA_B_C[[#This Row],[Q_REAL_GVA_2020_2015]]/L82</f>
        <v>1.0326337156127068</v>
      </c>
      <c r="N83" s="4" t="str">
        <f>IF(GVA_B_C[[#This Row],[QUARTER]]=4,SUM(L80:L83),"")</f>
        <v/>
      </c>
      <c r="O83" s="2" t="str">
        <f>IF(GVA_B_C[[#This Row],[QUARTER]]=4,GVA_B_C[[#This Row],[A_REAL_GVA_2020_2015]]/N79,"")</f>
        <v/>
      </c>
    </row>
    <row r="84" spans="1:17" x14ac:dyDescent="0.2">
      <c r="A84" s="1" t="s">
        <v>85</v>
      </c>
      <c r="B84" s="3">
        <f t="shared" si="6"/>
        <v>2015</v>
      </c>
      <c r="C84" s="3">
        <f t="shared" si="7"/>
        <v>3</v>
      </c>
      <c r="D84" s="4">
        <v>435505.4</v>
      </c>
      <c r="E84" s="2">
        <f>GVA_B_C[[#This Row],[Q_GVA_2020]]/D83</f>
        <v>1.0242476753041072</v>
      </c>
      <c r="F84" s="4" t="str">
        <f>IF(GVA_B_C[[#This Row],[QUARTER]]=4,SUM(D81:D84),"")</f>
        <v/>
      </c>
      <c r="G84" s="2" t="str">
        <f>IF(GVA_B_C[[#This Row],[QUARTER]]=4,GVA_B_C[[#This Row],[A_GVA_2020]]/F80,"")</f>
        <v/>
      </c>
      <c r="H84" s="4">
        <f t="shared" si="4"/>
        <v>583745.61095938273</v>
      </c>
      <c r="I84" s="2">
        <f>GVA_B_C[[#This Row],[Q_REAL_GVA_2020_2024]]/H83</f>
        <v>1.0242476753041072</v>
      </c>
      <c r="J84" s="4" t="str">
        <f>IF(GVA_B_C[[#This Row],[QUARTER]]=4,SUM(H81:H84),"")</f>
        <v/>
      </c>
      <c r="K84" s="2" t="str">
        <f>IF(GVA_B_C[[#This Row],[QUARTER]]=4,GVA_B_C[[#This Row],[A_REAL_GVA_2020_2024]]/J80,"")</f>
        <v/>
      </c>
      <c r="L84" s="4">
        <f>L83*GVA_B_C[[#This Row],[Q_CHAIN_INDEX]]</f>
        <v>394199.05715962179</v>
      </c>
      <c r="M84" s="2">
        <f>GVA_B_C[[#This Row],[Q_REAL_GVA_2020_2015]]/L83</f>
        <v>1.0242476753041072</v>
      </c>
      <c r="N84" s="4" t="str">
        <f>IF(GVA_B_C[[#This Row],[QUARTER]]=4,SUM(L81:L84),"")</f>
        <v/>
      </c>
      <c r="O84" s="2" t="str">
        <f>IF(GVA_B_C[[#This Row],[QUARTER]]=4,GVA_B_C[[#This Row],[A_REAL_GVA_2020_2015]]/N80,"")</f>
        <v/>
      </c>
    </row>
    <row r="85" spans="1:17" x14ac:dyDescent="0.2">
      <c r="A85" s="1" t="s">
        <v>86</v>
      </c>
      <c r="B85" s="3">
        <f t="shared" si="6"/>
        <v>2015</v>
      </c>
      <c r="C85" s="3">
        <f t="shared" si="7"/>
        <v>4</v>
      </c>
      <c r="D85" s="4">
        <v>502356.8</v>
      </c>
      <c r="E85" s="2">
        <f>GVA_B_C[[#This Row],[Q_GVA_2020]]/D84</f>
        <v>1.1535030334870704</v>
      </c>
      <c r="F85" s="4">
        <f>IF(GVA_B_C[[#This Row],[QUARTER]]=4,SUM(D82:D85),"")</f>
        <v>1774815.8</v>
      </c>
      <c r="G85" s="2">
        <f>IF(GVA_B_C[[#This Row],[QUARTER]]=4,GVA_B_C[[#This Row],[A_GVA_2020]]/F81,"")</f>
        <v>1.0456758553897605</v>
      </c>
      <c r="H85" s="4">
        <f t="shared" si="4"/>
        <v>673352.33302641124</v>
      </c>
      <c r="I85" s="2">
        <f>GVA_B_C[[#This Row],[Q_REAL_GVA_2020_2024]]/H84</f>
        <v>1.1535030334870704</v>
      </c>
      <c r="J85" s="4">
        <f>IF(GVA_B_C[[#This Row],[QUARTER]]=4,SUM(H82:H85),"")</f>
        <v>2378939.3507207157</v>
      </c>
      <c r="K85" s="2">
        <f>IF(GVA_B_C[[#This Row],[QUARTER]]=4,GVA_B_C[[#This Row],[A_REAL_GVA_2020_2024]]/J81,"")</f>
        <v>1.0456758553897609</v>
      </c>
      <c r="L85" s="4">
        <f>L84*GVA_B_C[[#This Row],[Q_CHAIN_INDEX]]</f>
        <v>454709.8082313668</v>
      </c>
      <c r="M85" s="2">
        <f>GVA_B_C[[#This Row],[Q_REAL_GVA_2020_2015]]/L84</f>
        <v>1.1535030334870704</v>
      </c>
      <c r="N85" s="4">
        <f>IF(GVA_B_C[[#This Row],[QUARTER]]=4,SUM(L82:L85),"")</f>
        <v>1606479.9999999998</v>
      </c>
      <c r="O85" s="2">
        <f>IF(GVA_B_C[[#This Row],[QUARTER]]=4,GVA_B_C[[#This Row],[A_REAL_GVA_2020_2015]]/N81,"")</f>
        <v>1.0456758553897609</v>
      </c>
    </row>
    <row r="86" spans="1:17" x14ac:dyDescent="0.2">
      <c r="A86" s="1" t="s">
        <v>87</v>
      </c>
      <c r="B86" s="3">
        <f t="shared" si="6"/>
        <v>2016</v>
      </c>
      <c r="C86" s="3">
        <f t="shared" si="7"/>
        <v>1</v>
      </c>
      <c r="D86" s="4">
        <v>423595</v>
      </c>
      <c r="E86" s="2">
        <f>GVA_B_C[[#This Row],[Q_GVA_2020]]/D85</f>
        <v>0.84321541979724368</v>
      </c>
      <c r="F86" s="4" t="str">
        <f>IF(GVA_B_C[[#This Row],[QUARTER]]=4,SUM(D83:D86),"")</f>
        <v/>
      </c>
      <c r="G86" s="2" t="str">
        <f>IF(GVA_B_C[[#This Row],[QUARTER]]=4,GVA_B_C[[#This Row],[A_GVA_2020]]/F82,"")</f>
        <v/>
      </c>
      <c r="H86" s="4">
        <f t="shared" si="4"/>
        <v>567781.07016431878</v>
      </c>
      <c r="I86" s="2">
        <f>GVA_B_C[[#This Row],[Q_REAL_GVA_2020_2024]]/H85</f>
        <v>0.84321541979724368</v>
      </c>
      <c r="J86" s="4" t="str">
        <f>IF(GVA_B_C[[#This Row],[QUARTER]]=4,SUM(H83:H86),"")</f>
        <v/>
      </c>
      <c r="K86" s="2" t="str">
        <f>IF(GVA_B_C[[#This Row],[QUARTER]]=4,GVA_B_C[[#This Row],[A_REAL_GVA_2020_2024]]/J82,"")</f>
        <v/>
      </c>
      <c r="L86" s="4">
        <f>L85*GVA_B_C[[#This Row],[Q_CHAIN_INDEX]]</f>
        <v>383418.32183373615</v>
      </c>
      <c r="M86" s="2">
        <f>GVA_B_C[[#This Row],[Q_REAL_GVA_2020_2015]]/L85</f>
        <v>0.84321541979724368</v>
      </c>
      <c r="N86" s="4" t="str">
        <f>IF(GVA_B_C[[#This Row],[QUARTER]]=4,SUM(L83:L86),"")</f>
        <v/>
      </c>
      <c r="O86" s="2" t="str">
        <f>IF(GVA_B_C[[#This Row],[QUARTER]]=4,GVA_B_C[[#This Row],[A_REAL_GVA_2020_2015]]/N82,"")</f>
        <v/>
      </c>
    </row>
    <row r="87" spans="1:17" x14ac:dyDescent="0.2">
      <c r="A87" s="1" t="s">
        <v>88</v>
      </c>
      <c r="B87" s="3">
        <f t="shared" si="6"/>
        <v>2016</v>
      </c>
      <c r="C87" s="3">
        <f t="shared" si="7"/>
        <v>2</v>
      </c>
      <c r="D87" s="4">
        <v>439820</v>
      </c>
      <c r="E87" s="2">
        <f>GVA_B_C[[#This Row],[Q_GVA_2020]]/D86</f>
        <v>1.038303096117754</v>
      </c>
      <c r="F87" s="4" t="str">
        <f>IF(GVA_B_C[[#This Row],[QUARTER]]=4,SUM(D84:D87),"")</f>
        <v/>
      </c>
      <c r="G87" s="2" t="str">
        <f>IF(GVA_B_C[[#This Row],[QUARTER]]=4,GVA_B_C[[#This Row],[A_GVA_2020]]/F83,"")</f>
        <v/>
      </c>
      <c r="H87" s="4">
        <f t="shared" si="4"/>
        <v>589528.84306866385</v>
      </c>
      <c r="I87" s="2">
        <f>GVA_B_C[[#This Row],[Q_REAL_GVA_2020_2024]]/H86</f>
        <v>1.038303096117754</v>
      </c>
      <c r="J87" s="4" t="str">
        <f>IF(GVA_B_C[[#This Row],[QUARTER]]=4,SUM(H84:H87),"")</f>
        <v/>
      </c>
      <c r="K87" s="2" t="str">
        <f>IF(GVA_B_C[[#This Row],[QUARTER]]=4,GVA_B_C[[#This Row],[A_REAL_GVA_2020_2024]]/J83,"")</f>
        <v/>
      </c>
      <c r="L87" s="4">
        <f>L86*GVA_B_C[[#This Row],[Q_CHAIN_INDEX]]</f>
        <v>398104.43066824164</v>
      </c>
      <c r="M87" s="2">
        <f>GVA_B_C[[#This Row],[Q_REAL_GVA_2020_2015]]/L86</f>
        <v>1.038303096117754</v>
      </c>
      <c r="N87" s="4" t="str">
        <f>IF(GVA_B_C[[#This Row],[QUARTER]]=4,SUM(L84:L87),"")</f>
        <v/>
      </c>
      <c r="O87" s="2" t="str">
        <f>IF(GVA_B_C[[#This Row],[QUARTER]]=4,GVA_B_C[[#This Row],[A_REAL_GVA_2020_2015]]/N83,"")</f>
        <v/>
      </c>
    </row>
    <row r="88" spans="1:17" x14ac:dyDescent="0.2">
      <c r="A88" s="1" t="s">
        <v>89</v>
      </c>
      <c r="B88" s="3">
        <f t="shared" si="6"/>
        <v>2016</v>
      </c>
      <c r="C88" s="3">
        <f t="shared" si="7"/>
        <v>3</v>
      </c>
      <c r="D88" s="4">
        <v>443635.6</v>
      </c>
      <c r="E88" s="2">
        <f>GVA_B_C[[#This Row],[Q_GVA_2020]]/D87</f>
        <v>1.008675367195671</v>
      </c>
      <c r="F88" s="4" t="str">
        <f>IF(GVA_B_C[[#This Row],[QUARTER]]=4,SUM(D85:D88),"")</f>
        <v/>
      </c>
      <c r="G88" s="2" t="str">
        <f>IF(GVA_B_C[[#This Row],[QUARTER]]=4,GVA_B_C[[#This Row],[A_GVA_2020]]/F84,"")</f>
        <v/>
      </c>
      <c r="H88" s="4">
        <f t="shared" si="4"/>
        <v>594643.22225472354</v>
      </c>
      <c r="I88" s="2">
        <f>GVA_B_C[[#This Row],[Q_REAL_GVA_2020_2024]]/H87</f>
        <v>1.008675367195671</v>
      </c>
      <c r="J88" s="4" t="str">
        <f>IF(GVA_B_C[[#This Row],[QUARTER]]=4,SUM(H85:H88),"")</f>
        <v/>
      </c>
      <c r="K88" s="2" t="str">
        <f>IF(GVA_B_C[[#This Row],[QUARTER]]=4,GVA_B_C[[#This Row],[A_REAL_GVA_2020_2024]]/J84,"")</f>
        <v/>
      </c>
      <c r="L88" s="4">
        <f>L87*GVA_B_C[[#This Row],[Q_CHAIN_INDEX]]</f>
        <v>401558.13278651214</v>
      </c>
      <c r="M88" s="2">
        <f>GVA_B_C[[#This Row],[Q_REAL_GVA_2020_2015]]/L87</f>
        <v>1.008675367195671</v>
      </c>
      <c r="N88" s="4" t="str">
        <f>IF(GVA_B_C[[#This Row],[QUARTER]]=4,SUM(L85:L88),"")</f>
        <v/>
      </c>
      <c r="O88" s="2" t="str">
        <f>IF(GVA_B_C[[#This Row],[QUARTER]]=4,GVA_B_C[[#This Row],[A_REAL_GVA_2020_2015]]/N84,"")</f>
        <v/>
      </c>
    </row>
    <row r="89" spans="1:17" x14ac:dyDescent="0.2">
      <c r="A89" s="1" t="s">
        <v>90</v>
      </c>
      <c r="B89" s="3">
        <f t="shared" si="6"/>
        <v>2016</v>
      </c>
      <c r="C89" s="3">
        <f t="shared" si="7"/>
        <v>4</v>
      </c>
      <c r="D89" s="4">
        <v>519193.4</v>
      </c>
      <c r="E89" s="2">
        <f>GVA_B_C[[#This Row],[Q_GVA_2020]]/D88</f>
        <v>1.170315006279929</v>
      </c>
      <c r="F89" s="4">
        <f>IF(GVA_B_C[[#This Row],[QUARTER]]=4,SUM(D86:D89),"")</f>
        <v>1826244</v>
      </c>
      <c r="G89" s="2">
        <f>IF(GVA_B_C[[#This Row],[QUARTER]]=4,GVA_B_C[[#This Row],[A_GVA_2020]]/F85,"")</f>
        <v>1.0289766408435175</v>
      </c>
      <c r="H89" s="4">
        <f t="shared" si="4"/>
        <v>695919.886387354</v>
      </c>
      <c r="I89" s="2">
        <f>GVA_B_C[[#This Row],[Q_REAL_GVA_2020_2024]]/H88</f>
        <v>1.170315006279929</v>
      </c>
      <c r="J89" s="4">
        <f>IF(GVA_B_C[[#This Row],[QUARTER]]=4,SUM(H86:H89),"")</f>
        <v>2447873.0218750602</v>
      </c>
      <c r="K89" s="2">
        <f>IF(GVA_B_C[[#This Row],[QUARTER]]=4,GVA_B_C[[#This Row],[A_REAL_GVA_2020_2024]]/J85,"")</f>
        <v>1.0289766408435173</v>
      </c>
      <c r="L89" s="4">
        <f>L88*GVA_B_C[[#This Row],[Q_CHAIN_INDEX]]</f>
        <v>469949.50869380351</v>
      </c>
      <c r="M89" s="2">
        <f>GVA_B_C[[#This Row],[Q_REAL_GVA_2020_2015]]/L88</f>
        <v>1.170315006279929</v>
      </c>
      <c r="N89" s="4">
        <f>IF(GVA_B_C[[#This Row],[QUARTER]]=4,SUM(L86:L89),"")</f>
        <v>1653030.3939822935</v>
      </c>
      <c r="O89" s="2">
        <f>IF(GVA_B_C[[#This Row],[QUARTER]]=4,GVA_B_C[[#This Row],[A_REAL_GVA_2020_2015]]/N85,"")</f>
        <v>1.0289766408435175</v>
      </c>
    </row>
    <row r="90" spans="1:17" x14ac:dyDescent="0.2">
      <c r="A90" s="1" t="s">
        <v>91</v>
      </c>
      <c r="B90" s="3">
        <f t="shared" si="6"/>
        <v>2017</v>
      </c>
      <c r="C90" s="3">
        <f t="shared" si="7"/>
        <v>1</v>
      </c>
      <c r="D90" s="4">
        <v>451199.4</v>
      </c>
      <c r="E90" s="2">
        <f>GVA_B_C[[#This Row],[Q_GVA_2020]]/D89</f>
        <v>0.86903916729295871</v>
      </c>
      <c r="F90" s="4" t="str">
        <f>IF(GVA_B_C[[#This Row],[QUARTER]]=4,SUM(D87:D90),"")</f>
        <v/>
      </c>
      <c r="G90" s="2" t="str">
        <f>IF(GVA_B_C[[#This Row],[QUARTER]]=4,GVA_B_C[[#This Row],[A_GVA_2020]]/F86,"")</f>
        <v/>
      </c>
      <c r="H90" s="4">
        <f t="shared" si="4"/>
        <v>604781.63856867654</v>
      </c>
      <c r="I90" s="2">
        <f>GVA_B_C[[#This Row],[Q_REAL_GVA_2020_2024]]/H89</f>
        <v>0.86903916729295871</v>
      </c>
      <c r="J90" s="4" t="str">
        <f>IF(GVA_B_C[[#This Row],[QUARTER]]=4,SUM(H87:H90),"")</f>
        <v/>
      </c>
      <c r="K90" s="2" t="str">
        <f>IF(GVA_B_C[[#This Row],[QUARTER]]=4,GVA_B_C[[#This Row],[A_REAL_GVA_2020_2024]]/J86,"")</f>
        <v/>
      </c>
      <c r="L90" s="4">
        <f>L89*GVA_B_C[[#This Row],[Q_CHAIN_INDEX]]</f>
        <v>408404.52970499807</v>
      </c>
      <c r="M90" s="2">
        <f>GVA_B_C[[#This Row],[Q_REAL_GVA_2020_2015]]/L89</f>
        <v>0.86903916729295871</v>
      </c>
      <c r="N90" s="4" t="str">
        <f>IF(GVA_B_C[[#This Row],[QUARTER]]=4,SUM(L87:L90),"")</f>
        <v/>
      </c>
      <c r="O90" s="2" t="str">
        <f>IF(GVA_B_C[[#This Row],[QUARTER]]=4,GVA_B_C[[#This Row],[A_REAL_GVA_2020_2015]]/N86,"")</f>
        <v/>
      </c>
    </row>
    <row r="91" spans="1:17" x14ac:dyDescent="0.2">
      <c r="A91" s="1" t="s">
        <v>92</v>
      </c>
      <c r="B91" s="3">
        <f t="shared" si="6"/>
        <v>2017</v>
      </c>
      <c r="C91" s="3">
        <f t="shared" si="7"/>
        <v>2</v>
      </c>
      <c r="D91" s="4">
        <v>460109.9</v>
      </c>
      <c r="E91" s="2">
        <f>GVA_B_C[[#This Row],[Q_GVA_2020]]/D90</f>
        <v>1.01974847484283</v>
      </c>
      <c r="F91" s="4" t="str">
        <f>IF(GVA_B_C[[#This Row],[QUARTER]]=4,SUM(D88:D91),"")</f>
        <v/>
      </c>
      <c r="G91" s="2" t="str">
        <f>IF(GVA_B_C[[#This Row],[QUARTER]]=4,GVA_B_C[[#This Row],[A_GVA_2020]]/F87,"")</f>
        <v/>
      </c>
      <c r="H91" s="4">
        <f t="shared" si="4"/>
        <v>616725.15354335553</v>
      </c>
      <c r="I91" s="2">
        <f>GVA_B_C[[#This Row],[Q_REAL_GVA_2020_2024]]/H90</f>
        <v>1.01974847484283</v>
      </c>
      <c r="J91" s="4" t="str">
        <f>IF(GVA_B_C[[#This Row],[QUARTER]]=4,SUM(H88:H91),"")</f>
        <v/>
      </c>
      <c r="K91" s="2" t="str">
        <f>IF(GVA_B_C[[#This Row],[QUARTER]]=4,GVA_B_C[[#This Row],[A_REAL_GVA_2020_2024]]/J87,"")</f>
        <v/>
      </c>
      <c r="L91" s="4">
        <f>L90*GVA_B_C[[#This Row],[Q_CHAIN_INDEX]]</f>
        <v>416469.89628557506</v>
      </c>
      <c r="M91" s="2">
        <f>GVA_B_C[[#This Row],[Q_REAL_GVA_2020_2015]]/L90</f>
        <v>1.01974847484283</v>
      </c>
      <c r="N91" s="4" t="str">
        <f>IF(GVA_B_C[[#This Row],[QUARTER]]=4,SUM(L88:L91),"")</f>
        <v/>
      </c>
      <c r="O91" s="2" t="str">
        <f>IF(GVA_B_C[[#This Row],[QUARTER]]=4,GVA_B_C[[#This Row],[A_REAL_GVA_2020_2015]]/N87,"")</f>
        <v/>
      </c>
    </row>
    <row r="92" spans="1:17" x14ac:dyDescent="0.2">
      <c r="A92" s="1" t="s">
        <v>93</v>
      </c>
      <c r="B92" s="3">
        <f t="shared" si="6"/>
        <v>2017</v>
      </c>
      <c r="C92" s="3">
        <f t="shared" si="7"/>
        <v>3</v>
      </c>
      <c r="D92" s="4">
        <v>468440.7</v>
      </c>
      <c r="E92" s="2">
        <f>GVA_B_C[[#This Row],[Q_GVA_2020]]/D91</f>
        <v>1.0181061089970027</v>
      </c>
      <c r="F92" s="4" t="str">
        <f>IF(GVA_B_C[[#This Row],[QUARTER]]=4,SUM(D89:D92),"")</f>
        <v/>
      </c>
      <c r="G92" s="2" t="str">
        <f>IF(GVA_B_C[[#This Row],[QUARTER]]=4,GVA_B_C[[#This Row],[A_GVA_2020]]/F88,"")</f>
        <v/>
      </c>
      <c r="H92" s="4">
        <f t="shared" si="4"/>
        <v>627891.6463946047</v>
      </c>
      <c r="I92" s="2">
        <f>GVA_B_C[[#This Row],[Q_REAL_GVA_2020_2024]]/H91</f>
        <v>1.0181061089970027</v>
      </c>
      <c r="J92" s="4" t="str">
        <f>IF(GVA_B_C[[#This Row],[QUARTER]]=4,SUM(H89:H92),"")</f>
        <v/>
      </c>
      <c r="K92" s="2" t="str">
        <f>IF(GVA_B_C[[#This Row],[QUARTER]]=4,GVA_B_C[[#This Row],[A_REAL_GVA_2020_2024]]/J88,"")</f>
        <v/>
      </c>
      <c r="L92" s="4">
        <f>L91*GVA_B_C[[#This Row],[Q_CHAIN_INDEX]]</f>
        <v>424010.54562169209</v>
      </c>
      <c r="M92" s="2">
        <f>GVA_B_C[[#This Row],[Q_REAL_GVA_2020_2015]]/L91</f>
        <v>1.0181061089970027</v>
      </c>
      <c r="N92" s="4" t="str">
        <f>IF(GVA_B_C[[#This Row],[QUARTER]]=4,SUM(L89:L92),"")</f>
        <v/>
      </c>
      <c r="O92" s="2" t="str">
        <f>IF(GVA_B_C[[#This Row],[QUARTER]]=4,GVA_B_C[[#This Row],[A_REAL_GVA_2020_2015]]/N88,"")</f>
        <v/>
      </c>
    </row>
    <row r="93" spans="1:17" x14ac:dyDescent="0.2">
      <c r="A93" s="1" t="s">
        <v>94</v>
      </c>
      <c r="B93" s="3">
        <f t="shared" si="6"/>
        <v>2017</v>
      </c>
      <c r="C93" s="3">
        <f t="shared" si="7"/>
        <v>4</v>
      </c>
      <c r="D93" s="4">
        <v>537951.80000000005</v>
      </c>
      <c r="E93" s="2">
        <f>GVA_B_C[[#This Row],[Q_GVA_2020]]/D92</f>
        <v>1.1483882591756012</v>
      </c>
      <c r="F93" s="4">
        <f>IF(GVA_B_C[[#This Row],[QUARTER]]=4,SUM(D90:D93),"")</f>
        <v>1917701.8</v>
      </c>
      <c r="G93" s="2">
        <f>IF(GVA_B_C[[#This Row],[QUARTER]]=4,GVA_B_C[[#This Row],[A_GVA_2020]]/F89,"")</f>
        <v>1.0500797264768564</v>
      </c>
      <c r="H93" s="4">
        <f t="shared" si="4"/>
        <v>721063.39475400222</v>
      </c>
      <c r="I93" s="2">
        <f>GVA_B_C[[#This Row],[Q_REAL_GVA_2020_2024]]/H92</f>
        <v>1.1483882591756012</v>
      </c>
      <c r="J93" s="4">
        <f>IF(GVA_B_C[[#This Row],[QUARTER]]=4,SUM(H90:H93),"")</f>
        <v>2570461.8332606391</v>
      </c>
      <c r="K93" s="2">
        <f>IF(GVA_B_C[[#This Row],[QUARTER]]=4,GVA_B_C[[#This Row],[A_REAL_GVA_2020_2024]]/J89,"")</f>
        <v>1.0500797264768564</v>
      </c>
      <c r="L93" s="4">
        <f>L92*GVA_B_C[[#This Row],[Q_CHAIN_INDEX]]</f>
        <v>486928.73235859181</v>
      </c>
      <c r="M93" s="2">
        <f>GVA_B_C[[#This Row],[Q_REAL_GVA_2020_2015]]/L92</f>
        <v>1.1483882591756012</v>
      </c>
      <c r="N93" s="4">
        <f>IF(GVA_B_C[[#This Row],[QUARTER]]=4,SUM(L90:L93),"")</f>
        <v>1735813.7039708572</v>
      </c>
      <c r="O93" s="2">
        <f>IF(GVA_B_C[[#This Row],[QUARTER]]=4,GVA_B_C[[#This Row],[A_REAL_GVA_2020_2015]]/N89,"")</f>
        <v>1.0500797264768564</v>
      </c>
    </row>
    <row r="94" spans="1:17" x14ac:dyDescent="0.2">
      <c r="A94" s="1" t="s">
        <v>95</v>
      </c>
      <c r="B94" s="3">
        <f t="shared" si="6"/>
        <v>2018</v>
      </c>
      <c r="C94" s="3">
        <f t="shared" si="7"/>
        <v>1</v>
      </c>
      <c r="D94" s="4">
        <v>478499.8</v>
      </c>
      <c r="E94" s="2">
        <f>GVA_B_C[[#This Row],[Q_GVA_2020]]/D93</f>
        <v>0.88948452259105737</v>
      </c>
      <c r="F94" s="4" t="str">
        <f>IF(GVA_B_C[[#This Row],[QUARTER]]=4,SUM(D91:D94),"")</f>
        <v/>
      </c>
      <c r="G94" s="2" t="str">
        <f>IF(GVA_B_C[[#This Row],[QUARTER]]=4,GVA_B_C[[#This Row],[A_GVA_2020]]/F90,"")</f>
        <v/>
      </c>
      <c r="H94" s="4">
        <f t="shared" si="4"/>
        <v>641374.72944065079</v>
      </c>
      <c r="I94" s="2">
        <f>GVA_B_C[[#This Row],[Q_REAL_GVA_2020_2024]]/H93</f>
        <v>0.88948452259105737</v>
      </c>
      <c r="J94" s="4" t="str">
        <f>IF(GVA_B_C[[#This Row],[QUARTER]]=4,SUM(H91:H94),"")</f>
        <v/>
      </c>
      <c r="K94" s="2" t="str">
        <f>IF(GVA_B_C[[#This Row],[QUARTER]]=4,GVA_B_C[[#This Row],[A_REAL_GVA_2020_2024]]/J90,"")</f>
        <v/>
      </c>
      <c r="L94" s="4">
        <f>L93*GVA_B_C[[#This Row],[Q_CHAIN_INDEX]]</f>
        <v>433115.57103785081</v>
      </c>
      <c r="M94" s="2">
        <f>GVA_B_C[[#This Row],[Q_REAL_GVA_2020_2015]]/L93</f>
        <v>0.88948452259105748</v>
      </c>
      <c r="N94" s="4" t="str">
        <f>IF(GVA_B_C[[#This Row],[QUARTER]]=4,SUM(L91:L94),"")</f>
        <v/>
      </c>
      <c r="O94" s="2" t="str">
        <f>IF(GVA_B_C[[#This Row],[QUARTER]]=4,GVA_B_C[[#This Row],[A_REAL_GVA_2020_2015]]/N90,"")</f>
        <v/>
      </c>
    </row>
    <row r="95" spans="1:17" x14ac:dyDescent="0.2">
      <c r="A95" s="1" t="s">
        <v>96</v>
      </c>
      <c r="B95" s="3">
        <f t="shared" si="6"/>
        <v>2018</v>
      </c>
      <c r="C95" s="3">
        <f t="shared" si="7"/>
        <v>2</v>
      </c>
      <c r="D95" s="4">
        <v>490771</v>
      </c>
      <c r="E95" s="2">
        <f>GVA_B_C[[#This Row],[Q_GVA_2020]]/D94</f>
        <v>1.0256451517848075</v>
      </c>
      <c r="F95" s="4" t="str">
        <f>IF(GVA_B_C[[#This Row],[QUARTER]]=4,SUM(D92:D95),"")</f>
        <v/>
      </c>
      <c r="G95" s="2" t="str">
        <f>IF(GVA_B_C[[#This Row],[QUARTER]]=4,GVA_B_C[[#This Row],[A_GVA_2020]]/F91,"")</f>
        <v/>
      </c>
      <c r="H95" s="4">
        <f t="shared" si="4"/>
        <v>657822.88172809617</v>
      </c>
      <c r="I95" s="2">
        <f>GVA_B_C[[#This Row],[Q_REAL_GVA_2020_2024]]/H94</f>
        <v>1.0256451517848075</v>
      </c>
      <c r="J95" s="4" t="str">
        <f>IF(GVA_B_C[[#This Row],[QUARTER]]=4,SUM(H92:H95),"")</f>
        <v/>
      </c>
      <c r="K95" s="2" t="str">
        <f>IF(GVA_B_C[[#This Row],[QUARTER]]=4,GVA_B_C[[#This Row],[A_REAL_GVA_2020_2024]]/J91,"")</f>
        <v/>
      </c>
      <c r="L95" s="4">
        <f>L94*GVA_B_C[[#This Row],[Q_CHAIN_INDEX]]</f>
        <v>444222.88559748005</v>
      </c>
      <c r="M95" s="2">
        <f>GVA_B_C[[#This Row],[Q_REAL_GVA_2020_2015]]/L94</f>
        <v>1.0256451517848075</v>
      </c>
      <c r="N95" s="4" t="str">
        <f>IF(GVA_B_C[[#This Row],[QUARTER]]=4,SUM(L92:L95),"")</f>
        <v/>
      </c>
      <c r="O95" s="2" t="str">
        <f>IF(GVA_B_C[[#This Row],[QUARTER]]=4,GVA_B_C[[#This Row],[A_REAL_GVA_2020_2015]]/N91,"")</f>
        <v/>
      </c>
    </row>
    <row r="96" spans="1:17" x14ac:dyDescent="0.2">
      <c r="A96" s="1" t="s">
        <v>97</v>
      </c>
      <c r="B96" s="3">
        <f t="shared" si="6"/>
        <v>2018</v>
      </c>
      <c r="C96" s="3">
        <f t="shared" si="7"/>
        <v>3</v>
      </c>
      <c r="D96" s="4">
        <v>500068.6</v>
      </c>
      <c r="E96" s="2">
        <f>GVA_B_C[[#This Row],[Q_GVA_2020]]/D95</f>
        <v>1.0189448846814502</v>
      </c>
      <c r="F96" s="4" t="str">
        <f>IF(GVA_B_C[[#This Row],[QUARTER]]=4,SUM(D93:D96),"")</f>
        <v/>
      </c>
      <c r="G96" s="2" t="str">
        <f>IF(GVA_B_C[[#This Row],[QUARTER]]=4,GVA_B_C[[#This Row],[A_GVA_2020]]/F92,"")</f>
        <v/>
      </c>
      <c r="H96" s="4">
        <f t="shared" si="4"/>
        <v>670285.26036325423</v>
      </c>
      <c r="I96" s="2">
        <f>GVA_B_C[[#This Row],[Q_REAL_GVA_2020_2024]]/H95</f>
        <v>1.0189448846814502</v>
      </c>
      <c r="J96" s="4" t="str">
        <f>IF(GVA_B_C[[#This Row],[QUARTER]]=4,SUM(H93:H96),"")</f>
        <v/>
      </c>
      <c r="K96" s="2" t="str">
        <f>IF(GVA_B_C[[#This Row],[QUARTER]]=4,GVA_B_C[[#This Row],[A_REAL_GVA_2020_2024]]/J92,"")</f>
        <v/>
      </c>
      <c r="L96" s="4">
        <f>L95*GVA_B_C[[#This Row],[Q_CHAIN_INDEX]]</f>
        <v>452638.63693798537</v>
      </c>
      <c r="M96" s="2">
        <f>GVA_B_C[[#This Row],[Q_REAL_GVA_2020_2015]]/L95</f>
        <v>1.0189448846814502</v>
      </c>
      <c r="N96" s="4" t="str">
        <f>IF(GVA_B_C[[#This Row],[QUARTER]]=4,SUM(L93:L96),"")</f>
        <v/>
      </c>
      <c r="O96" s="2" t="str">
        <f>IF(GVA_B_C[[#This Row],[QUARTER]]=4,GVA_B_C[[#This Row],[A_REAL_GVA_2020_2015]]/N92,"")</f>
        <v/>
      </c>
    </row>
    <row r="97" spans="1:15" x14ac:dyDescent="0.2">
      <c r="A97" s="1" t="s">
        <v>98</v>
      </c>
      <c r="B97" s="3">
        <f t="shared" si="6"/>
        <v>2018</v>
      </c>
      <c r="C97" s="3">
        <f t="shared" si="7"/>
        <v>4</v>
      </c>
      <c r="D97" s="4">
        <v>568062.9</v>
      </c>
      <c r="E97" s="2">
        <f>GVA_B_C[[#This Row],[Q_GVA_2020]]/D96</f>
        <v>1.1359699449235565</v>
      </c>
      <c r="F97" s="4">
        <f>IF(GVA_B_C[[#This Row],[QUARTER]]=4,SUM(D94:D97),"")</f>
        <v>2037402.2999999998</v>
      </c>
      <c r="G97" s="2">
        <f>IF(GVA_B_C[[#This Row],[QUARTER]]=4,GVA_B_C[[#This Row],[A_GVA_2020]]/F93,"")</f>
        <v>1.0624187243292986</v>
      </c>
      <c r="H97" s="4">
        <f t="shared" si="4"/>
        <v>761423.91029791767</v>
      </c>
      <c r="I97" s="2">
        <f>GVA_B_C[[#This Row],[Q_REAL_GVA_2020_2024]]/H96</f>
        <v>1.1359699449235565</v>
      </c>
      <c r="J97" s="4">
        <f>IF(GVA_B_C[[#This Row],[QUARTER]]=4,SUM(H94:H97),"")</f>
        <v>2730906.7818299187</v>
      </c>
      <c r="K97" s="2">
        <f>IF(GVA_B_C[[#This Row],[QUARTER]]=4,GVA_B_C[[#This Row],[A_REAL_GVA_2020_2024]]/J93,"")</f>
        <v>1.0624187243292986</v>
      </c>
      <c r="L97" s="4">
        <f>L96*GVA_B_C[[#This Row],[Q_CHAIN_INDEX]]</f>
        <v>514183.88747271692</v>
      </c>
      <c r="M97" s="2">
        <f>GVA_B_C[[#This Row],[Q_REAL_GVA_2020_2015]]/L96</f>
        <v>1.1359699449235565</v>
      </c>
      <c r="N97" s="4">
        <f>IF(GVA_B_C[[#This Row],[QUARTER]]=4,SUM(L94:L97),"")</f>
        <v>1844160.9810460331</v>
      </c>
      <c r="O97" s="2">
        <f>IF(GVA_B_C[[#This Row],[QUARTER]]=4,GVA_B_C[[#This Row],[A_REAL_GVA_2020_2015]]/N93,"")</f>
        <v>1.0624187243292986</v>
      </c>
    </row>
    <row r="98" spans="1:15" x14ac:dyDescent="0.2">
      <c r="A98" s="1" t="s">
        <v>99</v>
      </c>
      <c r="B98" s="3">
        <f t="shared" si="6"/>
        <v>2019</v>
      </c>
      <c r="C98" s="3">
        <f t="shared" si="7"/>
        <v>1</v>
      </c>
      <c r="D98" s="4">
        <v>502194</v>
      </c>
      <c r="E98" s="2">
        <f>GVA_B_C[[#This Row],[Q_GVA_2020]]/D97</f>
        <v>0.88404646738943871</v>
      </c>
      <c r="F98" s="4" t="str">
        <f>IF(GVA_B_C[[#This Row],[QUARTER]]=4,SUM(D95:D98),"")</f>
        <v/>
      </c>
      <c r="G98" s="2" t="str">
        <f>IF(GVA_B_C[[#This Row],[QUARTER]]=4,GVA_B_C[[#This Row],[A_GVA_2020]]/F94,"")</f>
        <v/>
      </c>
      <c r="H98" s="4">
        <f t="shared" si="4"/>
        <v>673134.11808472697</v>
      </c>
      <c r="I98" s="2">
        <f>GVA_B_C[[#This Row],[Q_REAL_GVA_2020_2024]]/H97</f>
        <v>0.88404646738943871</v>
      </c>
      <c r="J98" s="4" t="str">
        <f>IF(GVA_B_C[[#This Row],[QUARTER]]=4,SUM(H95:H98),"")</f>
        <v/>
      </c>
      <c r="K98" s="2" t="str">
        <f>IF(GVA_B_C[[#This Row],[QUARTER]]=4,GVA_B_C[[#This Row],[A_REAL_GVA_2020_2024]]/J94,"")</f>
        <v/>
      </c>
      <c r="L98" s="4">
        <f>L97*GVA_B_C[[#This Row],[Q_CHAIN_INDEX]]</f>
        <v>454562.44930882409</v>
      </c>
      <c r="M98" s="2">
        <f>GVA_B_C[[#This Row],[Q_REAL_GVA_2020_2015]]/L97</f>
        <v>0.88404646738943871</v>
      </c>
      <c r="N98" s="4" t="str">
        <f>IF(GVA_B_C[[#This Row],[QUARTER]]=4,SUM(L95:L98),"")</f>
        <v/>
      </c>
      <c r="O98" s="2" t="str">
        <f>IF(GVA_B_C[[#This Row],[QUARTER]]=4,GVA_B_C[[#This Row],[A_REAL_GVA_2020_2015]]/N94,"")</f>
        <v/>
      </c>
    </row>
    <row r="99" spans="1:15" x14ac:dyDescent="0.2">
      <c r="A99" s="1" t="s">
        <v>100</v>
      </c>
      <c r="B99" s="3">
        <f t="shared" si="6"/>
        <v>2019</v>
      </c>
      <c r="C99" s="3">
        <f t="shared" si="7"/>
        <v>2</v>
      </c>
      <c r="D99" s="4">
        <v>515106.7</v>
      </c>
      <c r="E99" s="2">
        <f>GVA_B_C[[#This Row],[Q_GVA_2020]]/D98</f>
        <v>1.0257125732286727</v>
      </c>
      <c r="F99" s="4" t="str">
        <f>IF(GVA_B_C[[#This Row],[QUARTER]]=4,SUM(D96:D99),"")</f>
        <v/>
      </c>
      <c r="G99" s="2" t="str">
        <f>IF(GVA_B_C[[#This Row],[QUARTER]]=4,GVA_B_C[[#This Row],[A_GVA_2020]]/F95,"")</f>
        <v/>
      </c>
      <c r="H99" s="4">
        <f t="shared" si="4"/>
        <v>690442.12838869856</v>
      </c>
      <c r="I99" s="2">
        <v>1.0257125732286727</v>
      </c>
      <c r="J99" s="4" t="str">
        <f>IF(GVA_B_C[[#This Row],[QUARTER]]=4,SUM(H96:H99),"")</f>
        <v/>
      </c>
      <c r="K99" s="2" t="str">
        <f>IF(GVA_B_C[[#This Row],[QUARTER]]=4,GVA_B_C[[#This Row],[A_REAL_GVA_2020_2024]]/J95,"")</f>
        <v/>
      </c>
      <c r="L99" s="4">
        <f>L98*GVA_B_C[[#This Row],[Q_CHAIN_INDEX]]</f>
        <v>466250.41957368207</v>
      </c>
      <c r="M99" s="2">
        <f>GVA_B_C[[#This Row],[Q_REAL_GVA_2020_2015]]/L98</f>
        <v>1.0257125732286727</v>
      </c>
      <c r="N99" s="4" t="str">
        <f>IF(GVA_B_C[[#This Row],[QUARTER]]=4,SUM(L96:L99),"")</f>
        <v/>
      </c>
      <c r="O99" s="2" t="str">
        <f>IF(GVA_B_C[[#This Row],[QUARTER]]=4,GVA_B_C[[#This Row],[A_REAL_GVA_2020_2015]]/N95,"")</f>
        <v/>
      </c>
    </row>
    <row r="100" spans="1:15" x14ac:dyDescent="0.2">
      <c r="A100" s="1" t="s">
        <v>101</v>
      </c>
      <c r="B100" s="3">
        <f t="shared" si="6"/>
        <v>2019</v>
      </c>
      <c r="C100" s="3">
        <f t="shared" si="7"/>
        <v>3</v>
      </c>
      <c r="D100" s="4">
        <v>523544.4</v>
      </c>
      <c r="E100" s="2">
        <f>GVA_B_C[[#This Row],[Q_GVA_2020]]/D99</f>
        <v>1.0163804897121316</v>
      </c>
      <c r="F100" s="4" t="str">
        <f>IF(GVA_B_C[[#This Row],[QUARTER]]=4,SUM(D97:D100),"")</f>
        <v/>
      </c>
      <c r="G100" s="2" t="str">
        <f>IF(GVA_B_C[[#This Row],[QUARTER]]=4,GVA_B_C[[#This Row],[A_GVA_2020]]/F96,"")</f>
        <v/>
      </c>
      <c r="H100" s="4">
        <f t="shared" si="4"/>
        <v>701751.90856959182</v>
      </c>
      <c r="I100" s="2">
        <f>GVA_B_C[[#This Row],[Q_REAL_GVA_2020_2024]]/H99</f>
        <v>1.0163804897121316</v>
      </c>
      <c r="J100" s="4" t="str">
        <f>IF(GVA_B_C[[#This Row],[QUARTER]]=4,SUM(H97:H100),"")</f>
        <v/>
      </c>
      <c r="K100" s="2" t="str">
        <f>IF(GVA_B_C[[#This Row],[QUARTER]]=4,GVA_B_C[[#This Row],[A_REAL_GVA_2020_2024]]/J96,"")</f>
        <v/>
      </c>
      <c r="L100" s="4">
        <f>L99*GVA_B_C[[#This Row],[Q_CHAIN_INDEX]]</f>
        <v>473887.82977478579</v>
      </c>
      <c r="M100" s="2">
        <f>GVA_B_C[[#This Row],[Q_REAL_GVA_2020_2015]]/L99</f>
        <v>1.0163804897121316</v>
      </c>
      <c r="N100" s="4" t="str">
        <f>IF(GVA_B_C[[#This Row],[QUARTER]]=4,SUM(L97:L100),"")</f>
        <v/>
      </c>
      <c r="O100" s="2" t="str">
        <f>IF(GVA_B_C[[#This Row],[QUARTER]]=4,GVA_B_C[[#This Row],[A_REAL_GVA_2020_2015]]/N96,"")</f>
        <v/>
      </c>
    </row>
    <row r="101" spans="1:15" x14ac:dyDescent="0.2">
      <c r="A101" s="1" t="s">
        <v>102</v>
      </c>
      <c r="B101" s="3">
        <f t="shared" si="6"/>
        <v>2019</v>
      </c>
      <c r="C101" s="3">
        <f t="shared" si="7"/>
        <v>4</v>
      </c>
      <c r="D101" s="4">
        <v>587840</v>
      </c>
      <c r="E101" s="2">
        <f>GVA_B_C[[#This Row],[Q_GVA_2020]]/D100</f>
        <v>1.1228083043195571</v>
      </c>
      <c r="F101" s="4">
        <f>IF(GVA_B_C[[#This Row],[QUARTER]]=4,SUM(D98:D101),"")</f>
        <v>2128685.1</v>
      </c>
      <c r="G101" s="2">
        <f>IF(GVA_B_C[[#This Row],[QUARTER]]=4,GVA_B_C[[#This Row],[A_GVA_2020]]/F97,"")</f>
        <v>1.0448035226032681</v>
      </c>
      <c r="H101" s="4">
        <f t="shared" si="4"/>
        <v>787932.87051403627</v>
      </c>
      <c r="I101" s="2">
        <f>GVA_B_C[[#This Row],[Q_REAL_GVA_2020_2024]]/H100</f>
        <v>1.1228083043195571</v>
      </c>
      <c r="J101" s="4">
        <f>IF(GVA_B_C[[#This Row],[QUARTER]]=4,SUM(H98:H101),"")</f>
        <v>2853261.0255570537</v>
      </c>
      <c r="K101" s="2">
        <f>IF(GVA_B_C[[#This Row],[QUARTER]]=4,GVA_B_C[[#This Row],[A_REAL_GVA_2020_2024]]/J97,"")</f>
        <v>1.0448035226032681</v>
      </c>
      <c r="L101" s="4">
        <f>L100*GVA_B_C[[#This Row],[Q_CHAIN_INDEX]]</f>
        <v>532085.1905871022</v>
      </c>
      <c r="M101" s="2">
        <f>GVA_B_C[[#This Row],[Q_REAL_GVA_2020_2015]]/L100</f>
        <v>1.1228083043195571</v>
      </c>
      <c r="N101" s="4">
        <f>IF(GVA_B_C[[#This Row],[QUARTER]]=4,SUM(L98:L101),"")</f>
        <v>1926785.8892443941</v>
      </c>
      <c r="O101" s="2">
        <f>IF(GVA_B_C[[#This Row],[QUARTER]]=4,GVA_B_C[[#This Row],[A_REAL_GVA_2020_2015]]/N97,"")</f>
        <v>1.0448035226032681</v>
      </c>
    </row>
    <row r="102" spans="1:15" x14ac:dyDescent="0.2">
      <c r="A102" s="1" t="s">
        <v>103</v>
      </c>
      <c r="B102" s="3">
        <f t="shared" si="6"/>
        <v>2020</v>
      </c>
      <c r="C102" s="3">
        <f t="shared" si="7"/>
        <v>1</v>
      </c>
      <c r="D102" s="4">
        <v>515596.79999999999</v>
      </c>
      <c r="E102" s="2">
        <f>GVA_B_C[[#This Row],[Q_GVA_2020]]/D101</f>
        <v>0.87710397387044092</v>
      </c>
      <c r="F102" s="4" t="str">
        <f>IF(GVA_B_C[[#This Row],[QUARTER]]=4,SUM(D99:D102),"")</f>
        <v/>
      </c>
      <c r="G102" s="2" t="str">
        <f>IF(GVA_B_C[[#This Row],[QUARTER]]=4,GVA_B_C[[#This Row],[A_GVA_2020]]/F98,"")</f>
        <v/>
      </c>
      <c r="H102" s="4">
        <f t="shared" si="4"/>
        <v>691099.05187100475</v>
      </c>
      <c r="I102" s="2">
        <f>GVA_B_C[[#This Row],[Q_REAL_GVA_2020_2024]]/H101</f>
        <v>0.87710397387044092</v>
      </c>
      <c r="J102" s="4" t="str">
        <f>IF(GVA_B_C[[#This Row],[QUARTER]]=4,SUM(H99:H102),"")</f>
        <v/>
      </c>
      <c r="K102" s="2" t="str">
        <f>IF(GVA_B_C[[#This Row],[QUARTER]]=4,GVA_B_C[[#This Row],[A_REAL_GVA_2020_2024]]/J98,"")</f>
        <v/>
      </c>
      <c r="L102" s="4">
        <f>L101*GVA_B_C[[#This Row],[Q_CHAIN_INDEX]]</f>
        <v>466694.03510155826</v>
      </c>
      <c r="M102" s="2">
        <f>GVA_B_C[[#This Row],[Q_REAL_GVA_2020_2015]]/L101</f>
        <v>0.87710397387044092</v>
      </c>
      <c r="N102" s="4" t="str">
        <f>IF(GVA_B_C[[#This Row],[QUARTER]]=4,SUM(L99:L102),"")</f>
        <v/>
      </c>
      <c r="O102" s="2" t="str">
        <f>IF(GVA_B_C[[#This Row],[QUARTER]]=4,GVA_B_C[[#This Row],[A_REAL_GVA_2020_2015]]/N98,"")</f>
        <v/>
      </c>
    </row>
    <row r="103" spans="1:15" x14ac:dyDescent="0.2">
      <c r="A103" s="1" t="s">
        <v>104</v>
      </c>
      <c r="B103" s="3">
        <f t="shared" si="6"/>
        <v>2020</v>
      </c>
      <c r="C103" s="3">
        <f t="shared" si="7"/>
        <v>2</v>
      </c>
      <c r="D103" s="4">
        <v>475485.3</v>
      </c>
      <c r="E103" s="2">
        <f>GVA_B_C[[#This Row],[Q_GVA_2020]]/D102</f>
        <v>0.92220374525210391</v>
      </c>
      <c r="F103" s="4" t="str">
        <f>IF(GVA_B_C[[#This Row],[QUARTER]]=4,SUM(D100:D103),"")</f>
        <v/>
      </c>
      <c r="G103" s="2" t="str">
        <f>IF(GVA_B_C[[#This Row],[QUARTER]]=4,GVA_B_C[[#This Row],[A_GVA_2020]]/F99,"")</f>
        <v/>
      </c>
      <c r="H103" s="4">
        <f t="shared" si="4"/>
        <v>637334.13397561864</v>
      </c>
      <c r="I103" s="2">
        <f>GVA_B_C[[#This Row],[Q_REAL_GVA_2020_2024]]/H102</f>
        <v>0.92220374525210391</v>
      </c>
      <c r="J103" s="4" t="str">
        <f>IF(GVA_B_C[[#This Row],[QUARTER]]=4,SUM(H100:H103),"")</f>
        <v/>
      </c>
      <c r="K103" s="2" t="str">
        <f>IF(GVA_B_C[[#This Row],[QUARTER]]=4,GVA_B_C[[#This Row],[A_REAL_GVA_2020_2024]]/J99,"")</f>
        <v/>
      </c>
      <c r="L103" s="4">
        <f>L102*GVA_B_C[[#This Row],[Q_CHAIN_INDEX]]</f>
        <v>430386.98705747386</v>
      </c>
      <c r="M103" s="2">
        <f>GVA_B_C[[#This Row],[Q_REAL_GVA_2020_2015]]/L102</f>
        <v>0.92220374525210391</v>
      </c>
      <c r="N103" s="4" t="str">
        <f>IF(GVA_B_C[[#This Row],[QUARTER]]=4,SUM(L100:L103),"")</f>
        <v/>
      </c>
      <c r="O103" s="2" t="str">
        <f>IF(GVA_B_C[[#This Row],[QUARTER]]=4,GVA_B_C[[#This Row],[A_REAL_GVA_2020_2015]]/N99,"")</f>
        <v/>
      </c>
    </row>
    <row r="104" spans="1:15" x14ac:dyDescent="0.2">
      <c r="A104" s="1" t="s">
        <v>105</v>
      </c>
      <c r="B104" s="3">
        <f t="shared" si="6"/>
        <v>2020</v>
      </c>
      <c r="C104" s="3">
        <f t="shared" si="7"/>
        <v>3</v>
      </c>
      <c r="D104" s="4">
        <v>515651.8</v>
      </c>
      <c r="E104" s="2">
        <f>GVA_B_C[[#This Row],[Q_GVA_2020]]/D103</f>
        <v>1.0844747461172828</v>
      </c>
      <c r="F104" s="4" t="str">
        <f>IF(GVA_B_C[[#This Row],[QUARTER]]=4,SUM(D101:D104),"")</f>
        <v/>
      </c>
      <c r="G104" s="2" t="str">
        <f>IF(GVA_B_C[[#This Row],[QUARTER]]=4,GVA_B_C[[#This Row],[A_GVA_2020]]/F100,"")</f>
        <v/>
      </c>
      <c r="H104" s="4">
        <f t="shared" si="4"/>
        <v>691172.77313508734</v>
      </c>
      <c r="I104" s="2">
        <f>GVA_B_C[[#This Row],[Q_REAL_GVA_2020_2024]]/H103</f>
        <v>1.0844747461172828</v>
      </c>
      <c r="J104" s="4" t="str">
        <f>IF(GVA_B_C[[#This Row],[QUARTER]]=4,SUM(H101:H104),"")</f>
        <v/>
      </c>
      <c r="K104" s="2" t="str">
        <f>IF(GVA_B_C[[#This Row],[QUARTER]]=4,GVA_B_C[[#This Row],[A_REAL_GVA_2020_2024]]/J100,"")</f>
        <v/>
      </c>
      <c r="L104" s="4">
        <f>L103*GVA_B_C[[#This Row],[Q_CHAIN_INDEX]]</f>
        <v>466743.81852133624</v>
      </c>
      <c r="M104" s="2">
        <f>GVA_B_C[[#This Row],[Q_REAL_GVA_2020_2015]]/L103</f>
        <v>1.0844747461172828</v>
      </c>
      <c r="N104" s="4" t="str">
        <f>IF(GVA_B_C[[#This Row],[QUARTER]]=4,SUM(L101:L104),"")</f>
        <v/>
      </c>
      <c r="O104" s="2" t="str">
        <f>IF(GVA_B_C[[#This Row],[QUARTER]]=4,GVA_B_C[[#This Row],[A_REAL_GVA_2020_2015]]/N100,"")</f>
        <v/>
      </c>
    </row>
    <row r="105" spans="1:15" x14ac:dyDescent="0.2">
      <c r="A105" s="1" t="s">
        <v>106</v>
      </c>
      <c r="B105" s="3">
        <f t="shared" si="6"/>
        <v>2020</v>
      </c>
      <c r="C105" s="3">
        <f t="shared" si="7"/>
        <v>4</v>
      </c>
      <c r="D105" s="4">
        <v>578095.19999999995</v>
      </c>
      <c r="E105" s="2">
        <f>GVA_B_C[[#This Row],[Q_GVA_2020]]/D104</f>
        <v>1.1210960574558257</v>
      </c>
      <c r="F105" s="4">
        <f>IF(GVA_B_C[[#This Row],[QUARTER]]=4,SUM(D102:D105),"")</f>
        <v>2084829.0999999999</v>
      </c>
      <c r="G105" s="2">
        <f>IF(GVA_B_C[[#This Row],[QUARTER]]=4,GVA_B_C[[#This Row],[A_GVA_2020]]/F101,"")</f>
        <v>0.97939761029003292</v>
      </c>
      <c r="H105" s="4">
        <f t="shared" si="4"/>
        <v>774871.07098255632</v>
      </c>
      <c r="I105" s="2">
        <f>GVA_B_C[[#This Row],[Q_REAL_GVA_2020_2024]]/H104</f>
        <v>1.1210960574558257</v>
      </c>
      <c r="J105" s="4">
        <f>IF(GVA_B_C[[#This Row],[QUARTER]]=4,SUM(H102:H105),"")</f>
        <v>2794477.0299642673</v>
      </c>
      <c r="K105" s="2">
        <f>IF(GVA_B_C[[#This Row],[QUARTER]]=4,GVA_B_C[[#This Row],[A_REAL_GVA_2020_2024]]/J101,"")</f>
        <v>0.97939761029003303</v>
      </c>
      <c r="L105" s="4">
        <f>L104*GVA_B_C[[#This Row],[Q_CHAIN_INDEX]]</f>
        <v>523264.65478614747</v>
      </c>
      <c r="M105" s="2">
        <f>GVA_B_C[[#This Row],[Q_REAL_GVA_2020_2015]]/L104</f>
        <v>1.1210960574558257</v>
      </c>
      <c r="N105" s="4">
        <f>IF(GVA_B_C[[#This Row],[QUARTER]]=4,SUM(L102:L105),"")</f>
        <v>1887089.4954665157</v>
      </c>
      <c r="O105" s="2">
        <f>IF(GVA_B_C[[#This Row],[QUARTER]]=4,GVA_B_C[[#This Row],[A_REAL_GVA_2020_2015]]/N101,"")</f>
        <v>0.97939761029003292</v>
      </c>
    </row>
    <row r="106" spans="1:15" x14ac:dyDescent="0.2">
      <c r="A106" s="1" t="s">
        <v>107</v>
      </c>
      <c r="B106" s="3">
        <f t="shared" si="6"/>
        <v>2021</v>
      </c>
      <c r="C106" s="3">
        <f t="shared" si="7"/>
        <v>1</v>
      </c>
      <c r="D106" s="4">
        <v>515192.2</v>
      </c>
      <c r="E106" s="2">
        <f>GVA_B_C[[#This Row],[Q_GVA_2020]]/D105</f>
        <v>0.89118920205530172</v>
      </c>
      <c r="F106" s="4" t="str">
        <f>IF(GVA_B_C[[#This Row],[QUARTER]]=4,SUM(D103:D106),"")</f>
        <v/>
      </c>
      <c r="G106" s="2" t="str">
        <f>IF(GVA_B_C[[#This Row],[QUARTER]]=4,GVA_B_C[[#This Row],[A_GVA_2020]]/F102,"")</f>
        <v/>
      </c>
      <c r="H106" s="4">
        <f t="shared" si="4"/>
        <v>690556.73144468141</v>
      </c>
      <c r="I106" s="2">
        <f>GVA_B_C[[#This Row],[Q_REAL_GVA_2020_2024]]/H105</f>
        <v>0.89118920205530172</v>
      </c>
      <c r="J106" s="4" t="str">
        <f>IF(GVA_B_C[[#This Row],[QUARTER]]=4,SUM(H103:H106),"")</f>
        <v/>
      </c>
      <c r="K106" s="2" t="str">
        <f>IF(GVA_B_C[[#This Row],[QUARTER]]=4,GVA_B_C[[#This Row],[A_REAL_GVA_2020_2024]]/J102,"")</f>
        <v/>
      </c>
      <c r="L106" s="4">
        <f>L105*GVA_B_C[[#This Row],[Q_CHAIN_INDEX]]</f>
        <v>466327.81016260968</v>
      </c>
      <c r="M106" s="2">
        <f>GVA_B_C[[#This Row],[Q_REAL_GVA_2020_2015]]/L105</f>
        <v>0.89118920205530172</v>
      </c>
      <c r="N106" s="4" t="str">
        <f>IF(GVA_B_C[[#This Row],[QUARTER]]=4,SUM(L103:L106),"")</f>
        <v/>
      </c>
      <c r="O106" s="2" t="str">
        <f>IF(GVA_B_C[[#This Row],[QUARTER]]=4,GVA_B_C[[#This Row],[A_REAL_GVA_2020_2015]]/N102,"")</f>
        <v/>
      </c>
    </row>
    <row r="107" spans="1:15" x14ac:dyDescent="0.2">
      <c r="A107" s="1" t="s">
        <v>108</v>
      </c>
      <c r="B107" s="3">
        <f t="shared" si="6"/>
        <v>2021</v>
      </c>
      <c r="C107" s="3">
        <f t="shared" si="7"/>
        <v>2</v>
      </c>
      <c r="D107" s="4">
        <v>527903.6</v>
      </c>
      <c r="E107" s="2">
        <f>GVA_B_C[[#This Row],[Q_GVA_2020]]/D106</f>
        <v>1.0246731219921419</v>
      </c>
      <c r="F107" s="4" t="str">
        <f>IF(GVA_B_C[[#This Row],[QUARTER]]=4,SUM(D104:D107),"")</f>
        <v/>
      </c>
      <c r="G107" s="2" t="str">
        <f>IF(GVA_B_C[[#This Row],[QUARTER]]=4,GVA_B_C[[#This Row],[A_GVA_2020]]/F103,"")</f>
        <v/>
      </c>
      <c r="H107" s="4">
        <f t="shared" si="4"/>
        <v>707594.92192211084</v>
      </c>
      <c r="I107" s="2">
        <f>GVA_B_C[[#This Row],[Q_REAL_GVA_2020_2024]]/H106</f>
        <v>1.0246731219921419</v>
      </c>
      <c r="J107" s="4" t="str">
        <f>IF(GVA_B_C[[#This Row],[QUARTER]]=4,SUM(H104:H107),"")</f>
        <v/>
      </c>
      <c r="K107" s="2" t="str">
        <f>IF(GVA_B_C[[#This Row],[QUARTER]]=4,GVA_B_C[[#This Row],[A_REAL_GVA_2020_2024]]/J103,"")</f>
        <v/>
      </c>
      <c r="L107" s="4">
        <f>L106*GVA_B_C[[#This Row],[Q_CHAIN_INDEX]]</f>
        <v>477833.57311108016</v>
      </c>
      <c r="M107" s="2">
        <f>GVA_B_C[[#This Row],[Q_REAL_GVA_2020_2015]]/L106</f>
        <v>1.0246731219921419</v>
      </c>
      <c r="N107" s="4" t="str">
        <f>IF(GVA_B_C[[#This Row],[QUARTER]]=4,SUM(L104:L107),"")</f>
        <v/>
      </c>
      <c r="O107" s="2" t="str">
        <f>IF(GVA_B_C[[#This Row],[QUARTER]]=4,GVA_B_C[[#This Row],[A_REAL_GVA_2020_2015]]/N103,"")</f>
        <v/>
      </c>
    </row>
    <row r="108" spans="1:15" x14ac:dyDescent="0.2">
      <c r="A108" s="1" t="s">
        <v>109</v>
      </c>
      <c r="B108" s="3">
        <f t="shared" si="6"/>
        <v>2021</v>
      </c>
      <c r="C108" s="3">
        <f t="shared" si="7"/>
        <v>3</v>
      </c>
      <c r="D108" s="4">
        <v>549046.19999999995</v>
      </c>
      <c r="E108" s="2">
        <f>GVA_B_C[[#This Row],[Q_GVA_2020]]/D107</f>
        <v>1.0400501152104284</v>
      </c>
      <c r="F108" s="4" t="str">
        <f>IF(GVA_B_C[[#This Row],[QUARTER]]=4,SUM(D105:D108),"")</f>
        <v/>
      </c>
      <c r="G108" s="2" t="str">
        <f>IF(GVA_B_C[[#This Row],[QUARTER]]=4,GVA_B_C[[#This Row],[A_GVA_2020]]/F104,"")</f>
        <v/>
      </c>
      <c r="H108" s="4">
        <f t="shared" si="4"/>
        <v>735934.18006740545</v>
      </c>
      <c r="I108" s="2">
        <f>GVA_B_C[[#This Row],[Q_REAL_GVA_2020_2024]]/H107</f>
        <v>1.0400501152104284</v>
      </c>
      <c r="J108" s="4" t="str">
        <f>IF(GVA_B_C[[#This Row],[QUARTER]]=4,SUM(H105:H108),"")</f>
        <v/>
      </c>
      <c r="K108" s="2" t="str">
        <f>IF(GVA_B_C[[#This Row],[QUARTER]]=4,GVA_B_C[[#This Row],[A_REAL_GVA_2020_2024]]/J104,"")</f>
        <v/>
      </c>
      <c r="L108" s="4">
        <f>L107*GVA_B_C[[#This Row],[Q_CHAIN_INDEX]]</f>
        <v>496970.86276558961</v>
      </c>
      <c r="M108" s="2">
        <f>GVA_B_C[[#This Row],[Q_REAL_GVA_2020_2015]]/L107</f>
        <v>1.0400501152104284</v>
      </c>
      <c r="N108" s="4" t="str">
        <f>IF(GVA_B_C[[#This Row],[QUARTER]]=4,SUM(L105:L108),"")</f>
        <v/>
      </c>
      <c r="O108" s="2" t="str">
        <f>IF(GVA_B_C[[#This Row],[QUARTER]]=4,GVA_B_C[[#This Row],[A_REAL_GVA_2020_2015]]/N104,"")</f>
        <v/>
      </c>
    </row>
    <row r="109" spans="1:15" x14ac:dyDescent="0.2">
      <c r="A109" s="1" t="s">
        <v>110</v>
      </c>
      <c r="B109" s="3">
        <f t="shared" si="6"/>
        <v>2021</v>
      </c>
      <c r="C109" s="3">
        <f t="shared" si="7"/>
        <v>4</v>
      </c>
      <c r="D109" s="4">
        <v>630897</v>
      </c>
      <c r="E109" s="2">
        <f>GVA_B_C[[#This Row],[Q_GVA_2020]]/D108</f>
        <v>1.1490781650068793</v>
      </c>
      <c r="F109" s="4">
        <f>IF(GVA_B_C[[#This Row],[QUARTER]]=4,SUM(D106:D109),"")</f>
        <v>2223039</v>
      </c>
      <c r="G109" s="2">
        <f>IF(GVA_B_C[[#This Row],[QUARTER]]=4,GVA_B_C[[#This Row],[A_GVA_2020]]/F105,"")</f>
        <v>1.0662931556356348</v>
      </c>
      <c r="H109" s="4">
        <f t="shared" si="4"/>
        <v>845645.89719769661</v>
      </c>
      <c r="I109" s="2">
        <f>GVA_B_C[[#This Row],[Q_REAL_GVA_2020_2024]]/H108</f>
        <v>1.1490781650068793</v>
      </c>
      <c r="J109" s="4">
        <f>IF(GVA_B_C[[#This Row],[QUARTER]]=4,SUM(H106:H109),"")</f>
        <v>2979731.7306318944</v>
      </c>
      <c r="K109" s="2">
        <f>IF(GVA_B_C[[#This Row],[QUARTER]]=4,GVA_B_C[[#This Row],[A_REAL_GVA_2020_2024]]/J105,"")</f>
        <v>1.0662931556356345</v>
      </c>
      <c r="L109" s="4">
        <f>L108*GVA_B_C[[#This Row],[Q_CHAIN_INDEX]]</f>
        <v>571058.36704856937</v>
      </c>
      <c r="M109" s="2">
        <f>GVA_B_C[[#This Row],[Q_REAL_GVA_2020_2015]]/L108</f>
        <v>1.1490781650068793</v>
      </c>
      <c r="N109" s="4">
        <f>IF(GVA_B_C[[#This Row],[QUARTER]]=4,SUM(L106:L109),"")</f>
        <v>2012190.6130878488</v>
      </c>
      <c r="O109" s="2">
        <f>IF(GVA_B_C[[#This Row],[QUARTER]]=4,GVA_B_C[[#This Row],[A_REAL_GVA_2020_2015]]/N105,"")</f>
        <v>1.0662931556356348</v>
      </c>
    </row>
    <row r="110" spans="1:15" x14ac:dyDescent="0.2">
      <c r="A110" s="1" t="s">
        <v>111</v>
      </c>
      <c r="B110" s="3">
        <f t="shared" si="6"/>
        <v>2022</v>
      </c>
      <c r="C110" s="3">
        <f t="shared" si="7"/>
        <v>1</v>
      </c>
      <c r="D110" s="4">
        <v>563631</v>
      </c>
      <c r="E110" s="2">
        <f>GVA_B_C[[#This Row],[Q_GVA_2020]]/D109</f>
        <v>0.89338037746256516</v>
      </c>
      <c r="F110" s="4" t="str">
        <f>IF(GVA_B_C[[#This Row],[QUARTER]]=4,SUM(D107:D110),"")</f>
        <v/>
      </c>
      <c r="G110" s="2" t="str">
        <f>IF(GVA_B_C[[#This Row],[QUARTER]]=4,GVA_B_C[[#This Row],[A_GVA_2020]]/F106,"")</f>
        <v/>
      </c>
      <c r="H110" s="4">
        <f t="shared" si="4"/>
        <v>755483.45083814778</v>
      </c>
      <c r="I110" s="2">
        <f>GVA_B_C[[#This Row],[Q_REAL_GVA_2020_2024]]/H109</f>
        <v>0.89338037746256516</v>
      </c>
      <c r="J110" s="4" t="str">
        <f>IF(GVA_B_C[[#This Row],[QUARTER]]=4,SUM(H107:H110),"")</f>
        <v/>
      </c>
      <c r="K110" s="2" t="str">
        <f>IF(GVA_B_C[[#This Row],[QUARTER]]=4,GVA_B_C[[#This Row],[A_REAL_GVA_2020_2024]]/J106,"")</f>
        <v/>
      </c>
      <c r="L110" s="4">
        <f>L109*GVA_B_C[[#This Row],[Q_CHAIN_INDEX]]</f>
        <v>510172.33950700698</v>
      </c>
      <c r="M110" s="2">
        <f>GVA_B_C[[#This Row],[Q_REAL_GVA_2020_2015]]/L109</f>
        <v>0.89338037746256516</v>
      </c>
      <c r="N110" s="4" t="str">
        <f>IF(GVA_B_C[[#This Row],[QUARTER]]=4,SUM(L107:L110),"")</f>
        <v/>
      </c>
      <c r="O110" s="2" t="str">
        <f>IF(GVA_B_C[[#This Row],[QUARTER]]=4,GVA_B_C[[#This Row],[A_REAL_GVA_2020_2015]]/N106,"")</f>
        <v/>
      </c>
    </row>
    <row r="111" spans="1:15" x14ac:dyDescent="0.2">
      <c r="A111" s="1" t="s">
        <v>112</v>
      </c>
      <c r="B111" s="3">
        <f t="shared" si="6"/>
        <v>2022</v>
      </c>
      <c r="C111" s="3">
        <f t="shared" si="7"/>
        <v>2</v>
      </c>
      <c r="D111" s="4">
        <v>558489</v>
      </c>
      <c r="E111" s="2">
        <f>GVA_B_C[[#This Row],[Q_GVA_2020]]/D110</f>
        <v>0.99087700995864314</v>
      </c>
      <c r="F111" s="4" t="str">
        <f>IF(GVA_B_C[[#This Row],[QUARTER]]=4,SUM(D108:D111),"")</f>
        <v/>
      </c>
      <c r="G111" s="2" t="str">
        <f>IF(GVA_B_C[[#This Row],[QUARTER]]=4,GVA_B_C[[#This Row],[A_GVA_2020]]/F107,"")</f>
        <v/>
      </c>
      <c r="H111" s="4">
        <f t="shared" si="4"/>
        <v>748591.18283974146</v>
      </c>
      <c r="I111" s="2">
        <f>GVA_B_C[[#This Row],[Q_REAL_GVA_2020_2024]]/H110</f>
        <v>0.99087700995864314</v>
      </c>
      <c r="J111" s="4" t="str">
        <f>IF(GVA_B_C[[#This Row],[QUARTER]]=4,SUM(H108:H111),"")</f>
        <v/>
      </c>
      <c r="K111" s="2" t="str">
        <f>IF(GVA_B_C[[#This Row],[QUARTER]]=4,GVA_B_C[[#This Row],[A_REAL_GVA_2020_2024]]/J107,"")</f>
        <v/>
      </c>
      <c r="L111" s="4">
        <f>L110*GVA_B_C[[#This Row],[Q_CHAIN_INDEX]]</f>
        <v>505518.04233430885</v>
      </c>
      <c r="M111" s="2">
        <f>GVA_B_C[[#This Row],[Q_REAL_GVA_2020_2015]]/L110</f>
        <v>0.99087700995864314</v>
      </c>
      <c r="N111" s="4" t="str">
        <f>IF(GVA_B_C[[#This Row],[QUARTER]]=4,SUM(L108:L111),"")</f>
        <v/>
      </c>
      <c r="O111" s="2" t="str">
        <f>IF(GVA_B_C[[#This Row],[QUARTER]]=4,GVA_B_C[[#This Row],[A_REAL_GVA_2020_2015]]/N107,"")</f>
        <v/>
      </c>
    </row>
    <row r="112" spans="1:15" x14ac:dyDescent="0.2">
      <c r="A112" s="1" t="s">
        <v>113</v>
      </c>
      <c r="B112" s="3">
        <f t="shared" si="6"/>
        <v>2022</v>
      </c>
      <c r="C112" s="3">
        <f t="shared" si="7"/>
        <v>3</v>
      </c>
      <c r="D112" s="4">
        <v>582879</v>
      </c>
      <c r="E112" s="2">
        <f>GVA_B_C[[#This Row],[Q_GVA_2020]]/D111</f>
        <v>1.0436714062407675</v>
      </c>
      <c r="F112" s="4" t="str">
        <f>IF(GVA_B_C[[#This Row],[QUARTER]]=4,SUM(D109:D112),"")</f>
        <v/>
      </c>
      <c r="G112" s="2" t="str">
        <f>IF(GVA_B_C[[#This Row],[QUARTER]]=4,GVA_B_C[[#This Row],[A_GVA_2020]]/F108,"")</f>
        <v/>
      </c>
      <c r="H112" s="4">
        <f t="shared" si="4"/>
        <v>781283.21249379241</v>
      </c>
      <c r="I112" s="2">
        <f>GVA_B_C[[#This Row],[Q_REAL_GVA_2020_2024]]/H111</f>
        <v>1.0436714062407675</v>
      </c>
      <c r="J112" s="4" t="str">
        <f>IF(GVA_B_C[[#This Row],[QUARTER]]=4,SUM(H109:H112),"")</f>
        <v/>
      </c>
      <c r="K112" s="2" t="str">
        <f>IF(GVA_B_C[[#This Row],[QUARTER]]=4,GVA_B_C[[#This Row],[A_REAL_GVA_2020_2024]]/J108,"")</f>
        <v/>
      </c>
      <c r="L112" s="4">
        <f>L111*GVA_B_C[[#This Row],[Q_CHAIN_INDEX]]</f>
        <v>527594.72612312797</v>
      </c>
      <c r="M112" s="2">
        <f>GVA_B_C[[#This Row],[Q_REAL_GVA_2020_2015]]/L111</f>
        <v>1.0436714062407675</v>
      </c>
      <c r="N112" s="4" t="str">
        <f>IF(GVA_B_C[[#This Row],[QUARTER]]=4,SUM(L109:L112),"")</f>
        <v/>
      </c>
      <c r="O112" s="2" t="str">
        <f>IF(GVA_B_C[[#This Row],[QUARTER]]=4,GVA_B_C[[#This Row],[A_REAL_GVA_2020_2015]]/N108,"")</f>
        <v/>
      </c>
    </row>
    <row r="113" spans="1:17" x14ac:dyDescent="0.2">
      <c r="A113" s="1" t="s">
        <v>114</v>
      </c>
      <c r="B113" s="3">
        <f t="shared" si="6"/>
        <v>2022</v>
      </c>
      <c r="C113" s="3">
        <f t="shared" si="7"/>
        <v>4</v>
      </c>
      <c r="D113" s="4">
        <v>639328.6</v>
      </c>
      <c r="E113" s="2">
        <f>GVA_B_C[[#This Row],[Q_GVA_2020]]/D112</f>
        <v>1.0968461721901115</v>
      </c>
      <c r="F113" s="4">
        <f>IF(GVA_B_C[[#This Row],[QUARTER]]=4,SUM(D110:D113),"")</f>
        <v>2344327.6</v>
      </c>
      <c r="G113" s="2">
        <f>IF(GVA_B_C[[#This Row],[QUARTER]]=4,GVA_B_C[[#This Row],[A_GVA_2020]]/F109,"")</f>
        <v>1.054559816539431</v>
      </c>
      <c r="H113" s="4">
        <f t="shared" si="4"/>
        <v>856947.50102020963</v>
      </c>
      <c r="I113" s="2">
        <f>GVA_B_C[[#This Row],[Q_REAL_GVA_2020_2024]]/H112</f>
        <v>1.0968461721901115</v>
      </c>
      <c r="J113" s="4">
        <f>IF(GVA_B_C[[#This Row],[QUARTER]]=4,SUM(H110:H113),"")</f>
        <v>3142305.3471918916</v>
      </c>
      <c r="K113" s="2">
        <f>IF(GVA_B_C[[#This Row],[QUARTER]]=4,GVA_B_C[[#This Row],[A_REAL_GVA_2020_2024]]/J109,"")</f>
        <v>1.054559816539431</v>
      </c>
      <c r="L113" s="4">
        <f>L112*GVA_B_C[[#This Row],[Q_CHAIN_INDEX]]</f>
        <v>578690.25581584312</v>
      </c>
      <c r="M113" s="2">
        <f>GVA_B_C[[#This Row],[Q_REAL_GVA_2020_2015]]/L112</f>
        <v>1.0968461721901115</v>
      </c>
      <c r="N113" s="4">
        <f>IF(GVA_B_C[[#This Row],[QUARTER]]=4,SUM(L110:L113),"")</f>
        <v>2121975.3637802871</v>
      </c>
      <c r="O113" s="2">
        <f>IF(GVA_B_C[[#This Row],[QUARTER]]=4,GVA_B_C[[#This Row],[A_REAL_GVA_2020_2015]]/N109,"")</f>
        <v>1.054559816539431</v>
      </c>
    </row>
    <row r="114" spans="1:17" x14ac:dyDescent="0.2">
      <c r="A114" s="1" t="s">
        <v>115</v>
      </c>
      <c r="B114" s="3">
        <f t="shared" si="6"/>
        <v>2023</v>
      </c>
      <c r="C114" s="3">
        <f t="shared" si="7"/>
        <v>1</v>
      </c>
      <c r="D114" s="4">
        <v>563232.9</v>
      </c>
      <c r="E114" s="2">
        <f>GVA_B_C[[#This Row],[Q_GVA_2020]]/D113</f>
        <v>0.88097560472032699</v>
      </c>
      <c r="F114" s="4" t="str">
        <f>IF(GVA_B_C[[#This Row],[QUARTER]]=4,SUM(D111:D114),"")</f>
        <v/>
      </c>
      <c r="G114" s="2" t="str">
        <f>IF(GVA_B_C[[#This Row],[QUARTER]]=4,GVA_B_C[[#This Row],[A_GVA_2020]]/F110,"")</f>
        <v/>
      </c>
      <c r="H114" s="4">
        <f t="shared" si="4"/>
        <v>754949.84292485216</v>
      </c>
      <c r="I114" s="2">
        <f>GVA_B_C[[#This Row],[Q_REAL_GVA_2020_2024]]/H113</f>
        <v>0.88097560472032688</v>
      </c>
      <c r="J114" s="4" t="str">
        <f>IF(GVA_B_C[[#This Row],[QUARTER]]=4,SUM(H111:H114),"")</f>
        <v/>
      </c>
      <c r="K114" s="2" t="str">
        <f>IF(GVA_B_C[[#This Row],[QUARTER]]=4,GVA_B_C[[#This Row],[A_REAL_GVA_2020_2024]]/J110,"")</f>
        <v/>
      </c>
      <c r="L114" s="4">
        <f>L113*GVA_B_C[[#This Row],[Q_CHAIN_INDEX]]</f>
        <v>509811.99806312309</v>
      </c>
      <c r="M114" s="2">
        <f>GVA_B_C[[#This Row],[Q_REAL_GVA_2020_2015]]/L113</f>
        <v>0.88097560472032699</v>
      </c>
      <c r="N114" s="4" t="str">
        <f>IF(GVA_B_C[[#This Row],[QUARTER]]=4,SUM(L111:L114),"")</f>
        <v/>
      </c>
      <c r="O114" s="2" t="str">
        <f>IF(GVA_B_C[[#This Row],[QUARTER]]=4,GVA_B_C[[#This Row],[A_REAL_GVA_2020_2015]]/N110,"")</f>
        <v/>
      </c>
    </row>
    <row r="115" spans="1:17" x14ac:dyDescent="0.2">
      <c r="A115" s="1" t="s">
        <v>116</v>
      </c>
      <c r="B115" s="3">
        <f t="shared" si="6"/>
        <v>2023</v>
      </c>
      <c r="C115" s="3">
        <f t="shared" si="7"/>
        <v>2</v>
      </c>
      <c r="D115" s="4">
        <v>558446</v>
      </c>
      <c r="E115" s="2">
        <f>GVA_B_C[[#This Row],[Q_GVA_2020]]/D114</f>
        <v>0.99150102914797766</v>
      </c>
      <c r="F115" s="4" t="str">
        <f>IF(GVA_B_C[[#This Row],[QUARTER]]=4,SUM(D112:D115),"")</f>
        <v/>
      </c>
      <c r="G115" s="2" t="str">
        <f>IF(GVA_B_C[[#This Row],[QUARTER]]=4,GVA_B_C[[#This Row],[A_GVA_2020]]/F111,"")</f>
        <v/>
      </c>
      <c r="H115" s="4">
        <f t="shared" si="4"/>
        <v>748533.54621509498</v>
      </c>
      <c r="I115" s="2">
        <f>GVA_B_C[[#This Row],[Q_REAL_GVA_2020_2024]]/H114</f>
        <v>0.99150102914797766</v>
      </c>
      <c r="J115" s="4" t="str">
        <f>IF(GVA_B_C[[#This Row],[QUARTER]]=4,SUM(H112:H115),"")</f>
        <v/>
      </c>
      <c r="K115" s="2" t="str">
        <f>IF(GVA_B_C[[#This Row],[QUARTER]]=4,GVA_B_C[[#This Row],[A_REAL_GVA_2020_2024]]/J111,"")</f>
        <v/>
      </c>
      <c r="L115" s="4">
        <f>L114*GVA_B_C[[#This Row],[Q_CHAIN_INDEX]]</f>
        <v>505479.12075157335</v>
      </c>
      <c r="M115" s="2">
        <f>GVA_B_C[[#This Row],[Q_REAL_GVA_2020_2015]]/L114</f>
        <v>0.99150102914797766</v>
      </c>
      <c r="N115" s="4" t="str">
        <f>IF(GVA_B_C[[#This Row],[QUARTER]]=4,SUM(L112:L115),"")</f>
        <v/>
      </c>
      <c r="O115" s="2" t="str">
        <f>IF(GVA_B_C[[#This Row],[QUARTER]]=4,GVA_B_C[[#This Row],[A_REAL_GVA_2020_2015]]/N111,"")</f>
        <v/>
      </c>
    </row>
    <row r="116" spans="1:17" x14ac:dyDescent="0.2">
      <c r="A116" s="1" t="s">
        <v>117</v>
      </c>
      <c r="B116" s="3">
        <f t="shared" si="6"/>
        <v>2023</v>
      </c>
      <c r="C116" s="3">
        <f t="shared" si="7"/>
        <v>3</v>
      </c>
      <c r="D116" s="4">
        <v>591790.9</v>
      </c>
      <c r="E116" s="2">
        <f>GVA_B_C[[#This Row],[Q_GVA_2020]]/D115</f>
        <v>1.0597101599796579</v>
      </c>
      <c r="F116" s="4" t="str">
        <f>IF(GVA_B_C[[#This Row],[QUARTER]]=4,SUM(D113:D116),"")</f>
        <v/>
      </c>
      <c r="G116" s="2" t="str">
        <f>IF(GVA_B_C[[#This Row],[QUARTER]]=4,GVA_B_C[[#This Row],[A_GVA_2020]]/F112,"")</f>
        <v/>
      </c>
      <c r="H116" s="4">
        <f t="shared" si="4"/>
        <v>793228.60400973889</v>
      </c>
      <c r="I116" s="2">
        <f>GVA_B_C[[#This Row],[Q_REAL_GVA_2020_2024]]/H115</f>
        <v>1.0597101599796579</v>
      </c>
      <c r="J116" s="4" t="str">
        <f>IF(GVA_B_C[[#This Row],[QUARTER]]=4,SUM(H113:H116),"")</f>
        <v/>
      </c>
      <c r="K116" s="2" t="str">
        <f>IF(GVA_B_C[[#This Row],[QUARTER]]=4,GVA_B_C[[#This Row],[A_REAL_GVA_2020_2024]]/J112,"")</f>
        <v/>
      </c>
      <c r="L116" s="4">
        <f>L115*GVA_B_C[[#This Row],[Q_CHAIN_INDEX]]</f>
        <v>535661.3599180266</v>
      </c>
      <c r="M116" s="2">
        <f>GVA_B_C[[#This Row],[Q_REAL_GVA_2020_2015]]/L115</f>
        <v>1.0597101599796579</v>
      </c>
      <c r="N116" s="4" t="str">
        <f>IF(GVA_B_C[[#This Row],[QUARTER]]=4,SUM(L113:L116),"")</f>
        <v/>
      </c>
      <c r="O116" s="2" t="str">
        <f>IF(GVA_B_C[[#This Row],[QUARTER]]=4,GVA_B_C[[#This Row],[A_REAL_GVA_2020_2015]]/N112,"")</f>
        <v/>
      </c>
    </row>
    <row r="117" spans="1:17" x14ac:dyDescent="0.2">
      <c r="A117" s="1" t="s">
        <v>118</v>
      </c>
      <c r="B117" s="3">
        <f t="shared" si="6"/>
        <v>2023</v>
      </c>
      <c r="C117" s="3">
        <f t="shared" si="7"/>
        <v>4</v>
      </c>
      <c r="D117" s="4">
        <v>661423</v>
      </c>
      <c r="E117" s="2">
        <f>GVA_B_C[[#This Row],[Q_GVA_2020]]/D116</f>
        <v>1.1176633503489155</v>
      </c>
      <c r="F117" s="4">
        <f>IF(GVA_B_C[[#This Row],[QUARTER]]=4,SUM(D114:D117),"")</f>
        <v>2374892.7999999998</v>
      </c>
      <c r="G117" s="2">
        <f>IF(GVA_B_C[[#This Row],[QUARTER]]=4,GVA_B_C[[#This Row],[A_GVA_2020]]/F113,"")</f>
        <v>1.0130379388955706</v>
      </c>
      <c r="H117" s="4">
        <f>H118/E118</f>
        <v>886562.53915011801</v>
      </c>
      <c r="I117" s="2">
        <f>GVA_B_C[[#This Row],[Q_REAL_GVA_2020_2024]]/H116</f>
        <v>1.1176633503489155</v>
      </c>
      <c r="J117" s="4">
        <f>IF(GVA_B_C[[#This Row],[QUARTER]]=4,SUM(H114:H117),"")</f>
        <v>3183274.5322998036</v>
      </c>
      <c r="K117" s="2">
        <f>IF(GVA_B_C[[#This Row],[QUARTER]]=4,GVA_B_C[[#This Row],[A_REAL_GVA_2020_2024]]/J113,"")</f>
        <v>1.0130379388955704</v>
      </c>
      <c r="L117" s="4">
        <f>L116*GVA_B_C[[#This Row],[Q_CHAIN_INDEX]]</f>
        <v>598689.07017843786</v>
      </c>
      <c r="M117" s="2">
        <f>GVA_B_C[[#This Row],[Q_REAL_GVA_2020_2015]]/L116</f>
        <v>1.1176633503489155</v>
      </c>
      <c r="N117" s="4">
        <f>IF(GVA_B_C[[#This Row],[QUARTER]]=4,SUM(L114:L117),"")</f>
        <v>2149641.5489111608</v>
      </c>
      <c r="O117" s="2">
        <f>IF(GVA_B_C[[#This Row],[QUARTER]]=4,GVA_B_C[[#This Row],[A_REAL_GVA_2020_2015]]/N113,"")</f>
        <v>1.0130379388955706</v>
      </c>
      <c r="Q117" s="6" t="s">
        <v>133</v>
      </c>
    </row>
    <row r="118" spans="1:17" x14ac:dyDescent="0.2">
      <c r="A118" s="1" t="s">
        <v>119</v>
      </c>
      <c r="B118" s="3">
        <f t="shared" si="6"/>
        <v>2024</v>
      </c>
      <c r="C118" s="3">
        <f t="shared" si="7"/>
        <v>1</v>
      </c>
      <c r="D118" s="4">
        <v>569280.19999999995</v>
      </c>
      <c r="E118" s="2">
        <f>GVA_B_C[[#This Row],[Q_GVA_2020]]/D117</f>
        <v>0.86069005764843365</v>
      </c>
      <c r="F118" s="4" t="str">
        <f>IF(GVA_B_C[[#This Row],[QUARTER]]=4,SUM(D115:D118),"")</f>
        <v/>
      </c>
      <c r="G118" s="2" t="str">
        <f>IF(GVA_B_C[[#This Row],[QUARTER]]=4,GVA_B_C[[#This Row],[A_GVA_2020]]/F114,"")</f>
        <v/>
      </c>
      <c r="H118" s="5">
        <v>763055.56293005683</v>
      </c>
      <c r="I118" s="2">
        <f>GVA_B_C[[#This Row],[Q_REAL_GVA_2020_2024]]/H117</f>
        <v>0.86069005764843365</v>
      </c>
      <c r="J118" s="4" t="str">
        <f>IF(GVA_B_C[[#This Row],[QUARTER]]=4,SUM(H115:H118),"")</f>
        <v/>
      </c>
      <c r="K118" s="2" t="str">
        <f>IF(GVA_B_C[[#This Row],[QUARTER]]=4,GVA_B_C[[#This Row],[A_REAL_GVA_2020_2024]]/J114,"")</f>
        <v/>
      </c>
      <c r="L118" s="4">
        <f>L117*GVA_B_C[[#This Row],[Q_CHAIN_INDEX]]</f>
        <v>515285.73032536684</v>
      </c>
      <c r="M118" s="2">
        <f>GVA_B_C[[#This Row],[Q_REAL_GVA_2020_2015]]/L117</f>
        <v>0.86069005764843365</v>
      </c>
      <c r="N118" s="4" t="str">
        <f>IF(GVA_B_C[[#This Row],[QUARTER]]=4,SUM(L115:L118),"")</f>
        <v/>
      </c>
      <c r="O118" s="2" t="str">
        <f>IF(GVA_B_C[[#This Row],[QUARTER]]=4,GVA_B_C[[#This Row],[A_REAL_GVA_2020_2015]]/N114,"")</f>
        <v/>
      </c>
      <c r="Q118" s="7">
        <f>SUM(H118:H121)-NANA!B31</f>
        <v>1.1201323983259499</v>
      </c>
    </row>
    <row r="119" spans="1:17" x14ac:dyDescent="0.2">
      <c r="A119" s="1" t="s">
        <v>120</v>
      </c>
      <c r="B119" s="3">
        <f t="shared" si="6"/>
        <v>2024</v>
      </c>
      <c r="C119" s="3">
        <f t="shared" si="7"/>
        <v>2</v>
      </c>
      <c r="D119" s="4">
        <v>581442</v>
      </c>
      <c r="E119" s="2">
        <f>GVA_B_C[[#This Row],[Q_GVA_2020]]/D118</f>
        <v>1.0213634691668532</v>
      </c>
      <c r="F119" s="4" t="str">
        <f>IF(GVA_B_C[[#This Row],[QUARTER]]=4,SUM(D116:D119),"")</f>
        <v/>
      </c>
      <c r="G119" s="2" t="str">
        <f>IF(GVA_B_C[[#This Row],[QUARTER]]=4,GVA_B_C[[#This Row],[A_GVA_2020]]/F115,"")</f>
        <v/>
      </c>
      <c r="H119" s="4">
        <f>H118*GVA_B_C[[#This Row],[Q_CHAIN_INDEX]]</f>
        <v>779357.07692130888</v>
      </c>
      <c r="I119" s="2">
        <f>GVA_B_C[[#This Row],[Q_REAL_GVA_2020_2024]]/H118</f>
        <v>1.0213634691668532</v>
      </c>
      <c r="J119" s="4" t="str">
        <f>IF(GVA_B_C[[#This Row],[QUARTER]]=4,SUM(H116:H119),"")</f>
        <v/>
      </c>
      <c r="K119" s="2" t="str">
        <f>IF(GVA_B_C[[#This Row],[QUARTER]]=4,GVA_B_C[[#This Row],[A_REAL_GVA_2020_2024]]/J115,"")</f>
        <v/>
      </c>
      <c r="L119" s="4">
        <f>L118*GVA_B_C[[#This Row],[Q_CHAIN_INDEX]]</f>
        <v>526294.02113729226</v>
      </c>
      <c r="M119" s="2">
        <f>GVA_B_C[[#This Row],[Q_REAL_GVA_2020_2015]]/L118</f>
        <v>1.0213634691668532</v>
      </c>
      <c r="N119" s="4" t="str">
        <f>IF(GVA_B_C[[#This Row],[QUARTER]]=4,SUM(L116:L119),"")</f>
        <v/>
      </c>
      <c r="O119" s="2" t="str">
        <f>IF(GVA_B_C[[#This Row],[QUARTER]]=4,GVA_B_C[[#This Row],[A_REAL_GVA_2020_2015]]/N115,"")</f>
        <v/>
      </c>
    </row>
    <row r="120" spans="1:17" x14ac:dyDescent="0.2">
      <c r="A120" s="1" t="s">
        <v>121</v>
      </c>
      <c r="B120" s="3">
        <f t="shared" si="6"/>
        <v>2024</v>
      </c>
      <c r="C120" s="3">
        <f t="shared" si="7"/>
        <v>3</v>
      </c>
      <c r="D120" s="4">
        <v>593521.19999999995</v>
      </c>
      <c r="E120" s="2">
        <f>GVA_B_C[[#This Row],[Q_GVA_2020]]/D119</f>
        <v>1.0207745570495423</v>
      </c>
      <c r="F120" s="4" t="str">
        <f>IF(GVA_B_C[[#This Row],[QUARTER]]=4,SUM(D117:D120),"")</f>
        <v/>
      </c>
      <c r="G120" s="2" t="str">
        <f>IF(GVA_B_C[[#This Row],[QUARTER]]=4,GVA_B_C[[#This Row],[A_GVA_2020]]/F116,"")</f>
        <v/>
      </c>
      <c r="H120" s="4">
        <f>H119*GVA_B_C[[#This Row],[Q_CHAIN_INDEX]]</f>
        <v>795547.87497777515</v>
      </c>
      <c r="I120" s="2">
        <f>GVA_B_C[[#This Row],[Q_REAL_GVA_2020_2024]]/H119</f>
        <v>1.0207745570495423</v>
      </c>
      <c r="J120" s="4" t="str">
        <f>IF(GVA_B_C[[#This Row],[QUARTER]]=4,SUM(H117:H120),"")</f>
        <v/>
      </c>
      <c r="K120" s="2" t="str">
        <f>IF(GVA_B_C[[#This Row],[QUARTER]]=4,GVA_B_C[[#This Row],[A_REAL_GVA_2020_2024]]/J116,"")</f>
        <v/>
      </c>
      <c r="L120" s="4">
        <f>L119*GVA_B_C[[#This Row],[Q_CHAIN_INDEX]]</f>
        <v>537227.54630424199</v>
      </c>
      <c r="M120" s="2">
        <f>GVA_B_C[[#This Row],[Q_REAL_GVA_2020_2015]]/L119</f>
        <v>1.0207745570495423</v>
      </c>
      <c r="N120" s="4" t="str">
        <f>IF(GVA_B_C[[#This Row],[QUARTER]]=4,SUM(L117:L120),"")</f>
        <v/>
      </c>
      <c r="O120" s="2" t="str">
        <f>IF(GVA_B_C[[#This Row],[QUARTER]]=4,GVA_B_C[[#This Row],[A_REAL_GVA_2020_2015]]/N116,"")</f>
        <v/>
      </c>
    </row>
    <row r="121" spans="1:17" x14ac:dyDescent="0.2">
      <c r="A121" s="1" t="s">
        <v>122</v>
      </c>
      <c r="B121" s="3">
        <f t="shared" si="6"/>
        <v>2024</v>
      </c>
      <c r="C121" s="3">
        <f t="shared" si="7"/>
        <v>4</v>
      </c>
      <c r="D121" s="4">
        <v>679844.6</v>
      </c>
      <c r="E121" s="2">
        <f>GVA_B_C[[#This Row],[Q_GVA_2020]]/D120</f>
        <v>1.1454428249572215</v>
      </c>
      <c r="F121" s="4">
        <f>IF(GVA_B_C[[#This Row],[QUARTER]]=4,SUM(D118:D121),"")</f>
        <v>2424088</v>
      </c>
      <c r="G121" s="2">
        <f>IF(GVA_B_C[[#This Row],[QUARTER]]=4,GVA_B_C[[#This Row],[A_GVA_2020]]/F117,"")</f>
        <v>1.02071470341735</v>
      </c>
      <c r="H121" s="4">
        <f>H120*GVA_B_C[[#This Row],[Q_CHAIN_INDEX]]</f>
        <v>911254.60530325724</v>
      </c>
      <c r="I121" s="2">
        <f>GVA_B_C[[#This Row],[Q_REAL_GVA_2020_2024]]/H120</f>
        <v>1.1454428249572215</v>
      </c>
      <c r="J121" s="4">
        <f>IF(GVA_B_C[[#This Row],[QUARTER]]=4,SUM(H118:H121),"")</f>
        <v>3249215.1201323983</v>
      </c>
      <c r="K121" s="2">
        <f>IF(GVA_B_C[[#This Row],[QUARTER]]=4,GVA_B_C[[#This Row],[A_REAL_GVA_2020_2024]]/J117,"")</f>
        <v>1.0207147034173503</v>
      </c>
      <c r="L121" s="4">
        <f>L120*GVA_B_C[[#This Row],[Q_CHAIN_INDEX]]</f>
        <v>615363.43828356743</v>
      </c>
      <c r="M121" s="2">
        <f>GVA_B_C[[#This Row],[Q_REAL_GVA_2020_2015]]/L120</f>
        <v>1.1454428249572215</v>
      </c>
      <c r="N121" s="4">
        <f>IF(GVA_B_C[[#This Row],[QUARTER]]=4,SUM(L118:L121),"")</f>
        <v>2194170.7360504684</v>
      </c>
      <c r="O121" s="2">
        <f>IF(GVA_B_C[[#This Row],[QUARTER]]=4,GVA_B_C[[#This Row],[A_REAL_GVA_2020_2015]]/N117,"")</f>
        <v>1.02071470341735</v>
      </c>
    </row>
    <row r="122" spans="1:17" x14ac:dyDescent="0.2">
      <c r="A122" s="1" t="s">
        <v>123</v>
      </c>
      <c r="B122" s="3">
        <f t="shared" si="6"/>
        <v>2025</v>
      </c>
      <c r="C122" s="3">
        <f t="shared" si="7"/>
        <v>1</v>
      </c>
      <c r="D122" s="4">
        <v>581062.19999999995</v>
      </c>
      <c r="E122" s="2">
        <f>GVA_B_C[[#This Row],[Q_GVA_2020]]/D121</f>
        <v>0.85469855905305414</v>
      </c>
      <c r="F122" s="4" t="str">
        <f>IF(GVA_B_C[[#This Row],[QUARTER]]=4,SUM(D119:D122),"")</f>
        <v/>
      </c>
      <c r="G122" s="2" t="str">
        <f>IF(GVA_B_C[[#This Row],[QUARTER]]=4,GVA_B_C[[#This Row],[A_GVA_2020]]/F118,"")</f>
        <v/>
      </c>
      <c r="H122" s="4">
        <f>H121*GVA_B_C[[#This Row],[Q_CHAIN_INDEX]]</f>
        <v>778847.99808315351</v>
      </c>
      <c r="I122" s="2">
        <f>GVA_B_C[[#This Row],[Q_REAL_GVA_2020_2024]]/H121</f>
        <v>0.85469855905305414</v>
      </c>
      <c r="J122" s="4" t="str">
        <f>IF(GVA_B_C[[#This Row],[QUARTER]]=4,SUM(H119:H122),"")</f>
        <v/>
      </c>
      <c r="K122" s="2" t="str">
        <f>IF(GVA_B_C[[#This Row],[QUARTER]]=4,GVA_B_C[[#This Row],[A_REAL_GVA_2020_2024]]/J118,"")</f>
        <v/>
      </c>
      <c r="L122" s="4">
        <f>L121*GVA_B_C[[#This Row],[Q_CHAIN_INDEX]]</f>
        <v>525950.24399489805</v>
      </c>
      <c r="M122" s="2">
        <f>GVA_B_C[[#This Row],[Q_REAL_GVA_2020_2015]]/L121</f>
        <v>0.85469855905305403</v>
      </c>
      <c r="N122" s="4" t="str">
        <f>IF(GVA_B_C[[#This Row],[QUARTER]]=4,SUM(L119:L122),"")</f>
        <v/>
      </c>
      <c r="O122" s="2" t="str">
        <f>IF(GVA_B_C[[#This Row],[QUARTER]]=4,GVA_B_C[[#This Row],[A_REAL_GVA_2020_2015]]/N118,"")</f>
        <v/>
      </c>
    </row>
    <row r="123" spans="1:17" x14ac:dyDescent="0.2">
      <c r="A123" s="1" t="s">
        <v>124</v>
      </c>
      <c r="B123" s="3">
        <f t="shared" si="6"/>
        <v>2025</v>
      </c>
      <c r="C123" s="3">
        <f t="shared" si="7"/>
        <v>2</v>
      </c>
      <c r="D123" s="4">
        <v>594051.5</v>
      </c>
      <c r="E123" s="2">
        <f>GVA_B_C[[#This Row],[Q_GVA_2020]]/D122</f>
        <v>1.0223544054319831</v>
      </c>
      <c r="F123" s="4" t="str">
        <f>IF(GVA_B_C[[#This Row],[QUARTER]]=4,SUM(D120:D123),"")</f>
        <v/>
      </c>
      <c r="G123" s="2" t="str">
        <f>IF(GVA_B_C[[#This Row],[QUARTER]]=4,GVA_B_C[[#This Row],[A_GVA_2020]]/F119,"")</f>
        <v/>
      </c>
      <c r="H123" s="4">
        <f>H122*GVA_B_C[[#This Row],[Q_CHAIN_INDEX]]</f>
        <v>796258.68200219271</v>
      </c>
      <c r="I123" s="2">
        <f>GVA_B_C[[#This Row],[Q_REAL_GVA_2020_2024]]/H122</f>
        <v>1.0223544054319831</v>
      </c>
      <c r="J123" s="4" t="str">
        <f>IF(GVA_B_C[[#This Row],[QUARTER]]=4,SUM(H120:H123),"")</f>
        <v/>
      </c>
      <c r="K123" s="2" t="str">
        <f>IF(GVA_B_C[[#This Row],[QUARTER]]=4,GVA_B_C[[#This Row],[A_REAL_GVA_2020_2024]]/J119,"")</f>
        <v/>
      </c>
      <c r="L123" s="4">
        <f>L122*GVA_B_C[[#This Row],[Q_CHAIN_INDEX]]</f>
        <v>537707.54898621037</v>
      </c>
      <c r="M123" s="2">
        <f>GVA_B_C[[#This Row],[Q_REAL_GVA_2020_2015]]/L122</f>
        <v>1.0223544054319831</v>
      </c>
      <c r="N123" s="4" t="str">
        <f>IF(GVA_B_C[[#This Row],[QUARTER]]=4,SUM(L120:L123),"")</f>
        <v/>
      </c>
      <c r="O123" s="2" t="str">
        <f>IF(GVA_B_C[[#This Row],[QUARTER]]=4,GVA_B_C[[#This Row],[A_REAL_GVA_2020_2015]]/N119,"")</f>
        <v/>
      </c>
    </row>
    <row r="124" spans="1:17" x14ac:dyDescent="0.2">
      <c r="A124" s="1" t="s">
        <v>125</v>
      </c>
      <c r="B124" s="3">
        <f t="shared" si="6"/>
        <v>2025</v>
      </c>
      <c r="C124" s="3">
        <f t="shared" si="7"/>
        <v>3</v>
      </c>
      <c r="D124" s="4" t="s">
        <v>2</v>
      </c>
      <c r="E124" s="2" t="e">
        <f>GVA_B_C[[#This Row],[Q_GVA_2020]]/D123</f>
        <v>#VALUE!</v>
      </c>
      <c r="F124" s="4" t="str">
        <f>IF(GVA_B_C[[#This Row],[QUARTER]]=4,SUM(D121:D124),"")</f>
        <v/>
      </c>
      <c r="G124" s="2" t="str">
        <f>IF(GVA_B_C[[#This Row],[QUARTER]]=4,GVA_B_C[[#This Row],[A_GVA_2020]]/F120,"")</f>
        <v/>
      </c>
      <c r="H124" s="4" t="e">
        <f>H123*GVA_B_C[[#This Row],[Q_CHAIN_INDEX]]</f>
        <v>#VALUE!</v>
      </c>
      <c r="I124" s="2" t="e">
        <f>GVA_B_C[[#This Row],[Q_REAL_GVA_2020_2024]]/H123</f>
        <v>#VALUE!</v>
      </c>
      <c r="J124" s="4" t="str">
        <f>IF(GVA_B_C[[#This Row],[QUARTER]]=4,SUM(H121:H124),"")</f>
        <v/>
      </c>
      <c r="K124" s="2" t="str">
        <f>IF(GVA_B_C[[#This Row],[QUARTER]]=4,GVA_B_C[[#This Row],[A_REAL_GVA_2020_2024]]/J120,"")</f>
        <v/>
      </c>
      <c r="L124" s="4" t="e">
        <f>L123*GVA_B_C[[#This Row],[Q_CHAIN_INDEX]]</f>
        <v>#VALUE!</v>
      </c>
      <c r="M124" s="2" t="e">
        <f>GVA_B_C[[#This Row],[Q_REAL_GVA_2020_2015]]/L123</f>
        <v>#VALUE!</v>
      </c>
      <c r="N124" s="4" t="str">
        <f>IF(GVA_B_C[[#This Row],[QUARTER]]=4,SUM(L121:L124),"")</f>
        <v/>
      </c>
      <c r="O124" s="2" t="str">
        <f>IF(GVA_B_C[[#This Row],[QUARTER]]=4,GVA_B_C[[#This Row],[A_REAL_GVA_2020_2015]]/N120,"")</f>
        <v/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A4E8-A381-FE4F-B31C-51DE0D8C59BD}">
  <dimension ref="A1:B124"/>
  <sheetViews>
    <sheetView workbookViewId="0">
      <selection activeCell="G20" sqref="G20"/>
    </sheetView>
  </sheetViews>
  <sheetFormatPr baseColWidth="10" defaultRowHeight="16" x14ac:dyDescent="0.2"/>
  <cols>
    <col min="1" max="1" width="8.1640625" bestFit="1" customWidth="1"/>
    <col min="2" max="2" width="13.5" style="4" bestFit="1" customWidth="1"/>
  </cols>
  <sheetData>
    <row r="1" spans="1:2" x14ac:dyDescent="0.2">
      <c r="A1" t="s">
        <v>0</v>
      </c>
      <c r="B1" s="4" t="s">
        <v>1</v>
      </c>
    </row>
    <row r="2" spans="1:2" x14ac:dyDescent="0.2">
      <c r="A2" t="s">
        <v>3</v>
      </c>
      <c r="B2" s="4">
        <v>185687.5</v>
      </c>
    </row>
    <row r="3" spans="1:2" x14ac:dyDescent="0.2">
      <c r="A3" t="s">
        <v>4</v>
      </c>
      <c r="B3" s="4">
        <v>199760.9</v>
      </c>
    </row>
    <row r="4" spans="1:2" x14ac:dyDescent="0.2">
      <c r="A4" t="s">
        <v>5</v>
      </c>
      <c r="B4" s="4">
        <v>212717.6</v>
      </c>
    </row>
    <row r="5" spans="1:2" x14ac:dyDescent="0.2">
      <c r="A5" t="s">
        <v>6</v>
      </c>
      <c r="B5" s="4">
        <v>227539.5</v>
      </c>
    </row>
    <row r="6" spans="1:2" x14ac:dyDescent="0.2">
      <c r="A6" t="s">
        <v>7</v>
      </c>
      <c r="B6" s="4">
        <v>201061.5</v>
      </c>
    </row>
    <row r="7" spans="1:2" x14ac:dyDescent="0.2">
      <c r="A7" t="s">
        <v>8</v>
      </c>
      <c r="B7" s="4">
        <v>216491.7</v>
      </c>
    </row>
    <row r="8" spans="1:2" x14ac:dyDescent="0.2">
      <c r="A8" t="s">
        <v>9</v>
      </c>
      <c r="B8" s="4">
        <v>222789.2</v>
      </c>
    </row>
    <row r="9" spans="1:2" x14ac:dyDescent="0.2">
      <c r="A9" t="s">
        <v>10</v>
      </c>
      <c r="B9" s="4">
        <v>231167.8</v>
      </c>
    </row>
    <row r="10" spans="1:2" x14ac:dyDescent="0.2">
      <c r="A10" t="s">
        <v>11</v>
      </c>
      <c r="B10" s="4">
        <v>212303.8</v>
      </c>
    </row>
    <row r="11" spans="1:2" x14ac:dyDescent="0.2">
      <c r="A11" t="s">
        <v>12</v>
      </c>
      <c r="B11" s="4">
        <v>225182.7</v>
      </c>
    </row>
    <row r="12" spans="1:2" x14ac:dyDescent="0.2">
      <c r="A12" t="s">
        <v>13</v>
      </c>
      <c r="B12" s="4">
        <v>228170.3</v>
      </c>
    </row>
    <row r="13" spans="1:2" x14ac:dyDescent="0.2">
      <c r="A13" t="s">
        <v>14</v>
      </c>
      <c r="B13" s="4">
        <v>255581.2</v>
      </c>
    </row>
    <row r="14" spans="1:2" x14ac:dyDescent="0.2">
      <c r="A14" t="s">
        <v>15</v>
      </c>
      <c r="B14" s="4">
        <v>224077.8</v>
      </c>
    </row>
    <row r="15" spans="1:2" x14ac:dyDescent="0.2">
      <c r="A15" t="s">
        <v>16</v>
      </c>
      <c r="B15" s="4">
        <v>232762.3</v>
      </c>
    </row>
    <row r="16" spans="1:2" x14ac:dyDescent="0.2">
      <c r="A16" t="s">
        <v>17</v>
      </c>
      <c r="B16" s="4">
        <v>237958.1</v>
      </c>
    </row>
    <row r="17" spans="1:2" x14ac:dyDescent="0.2">
      <c r="A17" t="s">
        <v>18</v>
      </c>
      <c r="B17" s="4">
        <v>267332.7</v>
      </c>
    </row>
    <row r="18" spans="1:2" x14ac:dyDescent="0.2">
      <c r="A18" t="s">
        <v>19</v>
      </c>
      <c r="B18" s="4">
        <v>227499.8</v>
      </c>
    </row>
    <row r="19" spans="1:2" x14ac:dyDescent="0.2">
      <c r="A19" t="s">
        <v>20</v>
      </c>
      <c r="B19" s="4">
        <v>240654.7</v>
      </c>
    </row>
    <row r="20" spans="1:2" x14ac:dyDescent="0.2">
      <c r="A20" t="s">
        <v>21</v>
      </c>
      <c r="B20" s="4">
        <v>249791.5</v>
      </c>
    </row>
    <row r="21" spans="1:2" x14ac:dyDescent="0.2">
      <c r="A21" t="s">
        <v>22</v>
      </c>
      <c r="B21" s="4">
        <v>287079.3</v>
      </c>
    </row>
    <row r="22" spans="1:2" x14ac:dyDescent="0.2">
      <c r="A22" t="s">
        <v>23</v>
      </c>
      <c r="B22" s="4">
        <v>241076.1</v>
      </c>
    </row>
    <row r="23" spans="1:2" x14ac:dyDescent="0.2">
      <c r="A23" t="s">
        <v>24</v>
      </c>
      <c r="B23" s="4">
        <v>254602.1</v>
      </c>
    </row>
    <row r="24" spans="1:2" x14ac:dyDescent="0.2">
      <c r="A24" t="s">
        <v>25</v>
      </c>
      <c r="B24" s="4">
        <v>255551.6</v>
      </c>
    </row>
    <row r="25" spans="1:2" x14ac:dyDescent="0.2">
      <c r="A25" t="s">
        <v>26</v>
      </c>
      <c r="B25" s="4">
        <v>298209.5</v>
      </c>
    </row>
    <row r="26" spans="1:2" x14ac:dyDescent="0.2">
      <c r="A26" t="s">
        <v>27</v>
      </c>
      <c r="B26" s="4">
        <v>248955</v>
      </c>
    </row>
    <row r="27" spans="1:2" x14ac:dyDescent="0.2">
      <c r="A27" t="s">
        <v>28</v>
      </c>
      <c r="B27" s="4">
        <v>255943.8</v>
      </c>
    </row>
    <row r="28" spans="1:2" x14ac:dyDescent="0.2">
      <c r="A28" t="s">
        <v>29</v>
      </c>
      <c r="B28" s="4">
        <v>261249.3</v>
      </c>
    </row>
    <row r="29" spans="1:2" x14ac:dyDescent="0.2">
      <c r="A29" t="s">
        <v>30</v>
      </c>
      <c r="B29" s="4">
        <v>297257.2</v>
      </c>
    </row>
    <row r="30" spans="1:2" x14ac:dyDescent="0.2">
      <c r="A30" t="s">
        <v>31</v>
      </c>
      <c r="B30" s="4">
        <v>253144.1</v>
      </c>
    </row>
    <row r="31" spans="1:2" x14ac:dyDescent="0.2">
      <c r="A31" t="s">
        <v>32</v>
      </c>
      <c r="B31" s="4">
        <v>261965.5</v>
      </c>
    </row>
    <row r="32" spans="1:2" x14ac:dyDescent="0.2">
      <c r="A32" t="s">
        <v>33</v>
      </c>
      <c r="B32" s="4">
        <v>267070.7</v>
      </c>
    </row>
    <row r="33" spans="1:2" x14ac:dyDescent="0.2">
      <c r="A33" t="s">
        <v>34</v>
      </c>
      <c r="B33" s="4">
        <v>300537</v>
      </c>
    </row>
    <row r="34" spans="1:2" x14ac:dyDescent="0.2">
      <c r="A34" t="s">
        <v>35</v>
      </c>
      <c r="B34" s="4">
        <v>259285.7</v>
      </c>
    </row>
    <row r="35" spans="1:2" x14ac:dyDescent="0.2">
      <c r="A35" t="s">
        <v>36</v>
      </c>
      <c r="B35" s="4">
        <v>270154.7</v>
      </c>
    </row>
    <row r="36" spans="1:2" x14ac:dyDescent="0.2">
      <c r="A36" t="s">
        <v>37</v>
      </c>
      <c r="B36" s="4">
        <v>277745.3</v>
      </c>
    </row>
    <row r="37" spans="1:2" x14ac:dyDescent="0.2">
      <c r="A37" t="s">
        <v>38</v>
      </c>
      <c r="B37" s="4">
        <v>311722.7</v>
      </c>
    </row>
    <row r="38" spans="1:2" x14ac:dyDescent="0.2">
      <c r="A38" t="s">
        <v>39</v>
      </c>
      <c r="B38" s="4">
        <v>276308</v>
      </c>
    </row>
    <row r="39" spans="1:2" x14ac:dyDescent="0.2">
      <c r="A39" t="s">
        <v>40</v>
      </c>
      <c r="B39" s="4">
        <v>287892.8</v>
      </c>
    </row>
    <row r="40" spans="1:2" x14ac:dyDescent="0.2">
      <c r="A40" t="s">
        <v>41</v>
      </c>
      <c r="B40" s="4">
        <v>287354.5</v>
      </c>
    </row>
    <row r="41" spans="1:2" x14ac:dyDescent="0.2">
      <c r="A41" t="s">
        <v>42</v>
      </c>
      <c r="B41" s="4">
        <v>328033.7</v>
      </c>
    </row>
    <row r="42" spans="1:2" x14ac:dyDescent="0.2">
      <c r="A42" t="s">
        <v>43</v>
      </c>
      <c r="B42" s="4">
        <v>281870.8</v>
      </c>
    </row>
    <row r="43" spans="1:2" x14ac:dyDescent="0.2">
      <c r="A43" t="s">
        <v>44</v>
      </c>
      <c r="B43" s="4">
        <v>300048.3</v>
      </c>
    </row>
    <row r="44" spans="1:2" x14ac:dyDescent="0.2">
      <c r="A44" t="s">
        <v>45</v>
      </c>
      <c r="B44" s="4">
        <v>296505.90000000002</v>
      </c>
    </row>
    <row r="45" spans="1:2" x14ac:dyDescent="0.2">
      <c r="A45" t="s">
        <v>46</v>
      </c>
      <c r="B45" s="4">
        <v>337925.6</v>
      </c>
    </row>
    <row r="46" spans="1:2" x14ac:dyDescent="0.2">
      <c r="A46" t="s">
        <v>47</v>
      </c>
      <c r="B46" s="4">
        <v>305087.90000000002</v>
      </c>
    </row>
    <row r="47" spans="1:2" x14ac:dyDescent="0.2">
      <c r="A47" t="s">
        <v>48</v>
      </c>
      <c r="B47" s="4">
        <v>315684</v>
      </c>
    </row>
    <row r="48" spans="1:2" x14ac:dyDescent="0.2">
      <c r="A48" t="s">
        <v>49</v>
      </c>
      <c r="B48" s="4">
        <v>318554.7</v>
      </c>
    </row>
    <row r="49" spans="1:2" x14ac:dyDescent="0.2">
      <c r="A49" t="s">
        <v>50</v>
      </c>
      <c r="B49" s="4">
        <v>352178.5</v>
      </c>
    </row>
    <row r="50" spans="1:2" x14ac:dyDescent="0.2">
      <c r="A50" t="s">
        <v>51</v>
      </c>
      <c r="B50" s="4">
        <v>328059.3</v>
      </c>
    </row>
    <row r="51" spans="1:2" x14ac:dyDescent="0.2">
      <c r="A51" t="s">
        <v>52</v>
      </c>
      <c r="B51" s="4">
        <v>332883.7</v>
      </c>
    </row>
    <row r="52" spans="1:2" x14ac:dyDescent="0.2">
      <c r="A52" t="s">
        <v>53</v>
      </c>
      <c r="B52" s="4">
        <v>334515.90000000002</v>
      </c>
    </row>
    <row r="53" spans="1:2" x14ac:dyDescent="0.2">
      <c r="A53" t="s">
        <v>54</v>
      </c>
      <c r="B53" s="4">
        <v>383857</v>
      </c>
    </row>
    <row r="54" spans="1:2" x14ac:dyDescent="0.2">
      <c r="A54" t="s">
        <v>55</v>
      </c>
      <c r="B54" s="4">
        <v>344849</v>
      </c>
    </row>
    <row r="55" spans="1:2" x14ac:dyDescent="0.2">
      <c r="A55" t="s">
        <v>56</v>
      </c>
      <c r="B55" s="4">
        <v>350128.5</v>
      </c>
    </row>
    <row r="56" spans="1:2" x14ac:dyDescent="0.2">
      <c r="A56" t="s">
        <v>57</v>
      </c>
      <c r="B56" s="4">
        <v>345085.3</v>
      </c>
    </row>
    <row r="57" spans="1:2" x14ac:dyDescent="0.2">
      <c r="A57" t="s">
        <v>58</v>
      </c>
      <c r="B57" s="4">
        <v>396538.7</v>
      </c>
    </row>
    <row r="58" spans="1:2" x14ac:dyDescent="0.2">
      <c r="A58" t="s">
        <v>59</v>
      </c>
      <c r="B58" s="4">
        <v>351095.8</v>
      </c>
    </row>
    <row r="59" spans="1:2" x14ac:dyDescent="0.2">
      <c r="A59" t="s">
        <v>60</v>
      </c>
      <c r="B59" s="4">
        <v>354757.9</v>
      </c>
    </row>
    <row r="60" spans="1:2" x14ac:dyDescent="0.2">
      <c r="A60" t="s">
        <v>61</v>
      </c>
      <c r="B60" s="4">
        <v>357475.3</v>
      </c>
    </row>
    <row r="61" spans="1:2" x14ac:dyDescent="0.2">
      <c r="A61" t="s">
        <v>62</v>
      </c>
      <c r="B61" s="4">
        <v>414742.9</v>
      </c>
    </row>
    <row r="62" spans="1:2" x14ac:dyDescent="0.2">
      <c r="A62" t="s">
        <v>63</v>
      </c>
      <c r="B62" s="4">
        <v>359981.9</v>
      </c>
    </row>
    <row r="63" spans="1:2" x14ac:dyDescent="0.2">
      <c r="A63" t="s">
        <v>64</v>
      </c>
      <c r="B63" s="4">
        <v>366090.6</v>
      </c>
    </row>
    <row r="64" spans="1:2" x14ac:dyDescent="0.2">
      <c r="A64" t="s">
        <v>65</v>
      </c>
      <c r="B64" s="4">
        <v>368878.5</v>
      </c>
    </row>
    <row r="65" spans="1:2" x14ac:dyDescent="0.2">
      <c r="A65" t="s">
        <v>66</v>
      </c>
      <c r="B65" s="4">
        <v>429162.2</v>
      </c>
    </row>
    <row r="66" spans="1:2" x14ac:dyDescent="0.2">
      <c r="A66" t="s">
        <v>67</v>
      </c>
      <c r="B66" s="4">
        <v>373255</v>
      </c>
    </row>
    <row r="67" spans="1:2" x14ac:dyDescent="0.2">
      <c r="A67" t="s">
        <v>68</v>
      </c>
      <c r="B67" s="4">
        <v>385572.6</v>
      </c>
    </row>
    <row r="68" spans="1:2" x14ac:dyDescent="0.2">
      <c r="A68" t="s">
        <v>69</v>
      </c>
      <c r="B68" s="4">
        <v>392485.1</v>
      </c>
    </row>
    <row r="69" spans="1:2" x14ac:dyDescent="0.2">
      <c r="A69" t="s">
        <v>70</v>
      </c>
      <c r="B69" s="4">
        <v>451985.2</v>
      </c>
    </row>
    <row r="70" spans="1:2" x14ac:dyDescent="0.2">
      <c r="A70" t="s">
        <v>71</v>
      </c>
      <c r="B70" s="4">
        <v>384601.3</v>
      </c>
    </row>
    <row r="71" spans="1:2" x14ac:dyDescent="0.2">
      <c r="A71" t="s">
        <v>72</v>
      </c>
      <c r="B71" s="4">
        <v>391855.4</v>
      </c>
    </row>
    <row r="72" spans="1:2" x14ac:dyDescent="0.2">
      <c r="A72" t="s">
        <v>73</v>
      </c>
      <c r="B72" s="4">
        <v>396815.7</v>
      </c>
    </row>
    <row r="73" spans="1:2" x14ac:dyDescent="0.2">
      <c r="A73" t="s">
        <v>74</v>
      </c>
      <c r="B73" s="4">
        <v>451541.3</v>
      </c>
    </row>
    <row r="74" spans="1:2" x14ac:dyDescent="0.2">
      <c r="A74" t="s">
        <v>75</v>
      </c>
      <c r="B74" s="4">
        <v>381646</v>
      </c>
    </row>
    <row r="75" spans="1:2" x14ac:dyDescent="0.2">
      <c r="A75" t="s">
        <v>76</v>
      </c>
      <c r="B75" s="4">
        <v>395910.5</v>
      </c>
    </row>
    <row r="76" spans="1:2" x14ac:dyDescent="0.2">
      <c r="A76" t="s">
        <v>77</v>
      </c>
      <c r="B76" s="4">
        <v>401009.3</v>
      </c>
    </row>
    <row r="77" spans="1:2" x14ac:dyDescent="0.2">
      <c r="A77" t="s">
        <v>78</v>
      </c>
      <c r="B77" s="4">
        <v>456114</v>
      </c>
    </row>
    <row r="78" spans="1:2" x14ac:dyDescent="0.2">
      <c r="A78" t="s">
        <v>79</v>
      </c>
      <c r="B78" s="4">
        <v>397818.6</v>
      </c>
    </row>
    <row r="79" spans="1:2" x14ac:dyDescent="0.2">
      <c r="A79" t="s">
        <v>80</v>
      </c>
      <c r="B79" s="4">
        <v>409292.5</v>
      </c>
    </row>
    <row r="80" spans="1:2" x14ac:dyDescent="0.2">
      <c r="A80" t="s">
        <v>81</v>
      </c>
      <c r="B80" s="4">
        <v>415962.9</v>
      </c>
    </row>
    <row r="81" spans="1:2" x14ac:dyDescent="0.2">
      <c r="A81" t="s">
        <v>82</v>
      </c>
      <c r="B81" s="4">
        <v>474216.6</v>
      </c>
    </row>
    <row r="82" spans="1:2" x14ac:dyDescent="0.2">
      <c r="A82" t="s">
        <v>83</v>
      </c>
      <c r="B82" s="4">
        <v>411758.2</v>
      </c>
    </row>
    <row r="83" spans="1:2" x14ac:dyDescent="0.2">
      <c r="A83" t="s">
        <v>84</v>
      </c>
      <c r="B83" s="4">
        <v>425195.4</v>
      </c>
    </row>
    <row r="84" spans="1:2" x14ac:dyDescent="0.2">
      <c r="A84" t="s">
        <v>85</v>
      </c>
      <c r="B84" s="4">
        <v>435505.4</v>
      </c>
    </row>
    <row r="85" spans="1:2" x14ac:dyDescent="0.2">
      <c r="A85" t="s">
        <v>86</v>
      </c>
      <c r="B85" s="4">
        <v>502356.8</v>
      </c>
    </row>
    <row r="86" spans="1:2" x14ac:dyDescent="0.2">
      <c r="A86" t="s">
        <v>87</v>
      </c>
      <c r="B86" s="4">
        <v>423595</v>
      </c>
    </row>
    <row r="87" spans="1:2" x14ac:dyDescent="0.2">
      <c r="A87" t="s">
        <v>88</v>
      </c>
      <c r="B87" s="4">
        <v>439820</v>
      </c>
    </row>
    <row r="88" spans="1:2" x14ac:dyDescent="0.2">
      <c r="A88" t="s">
        <v>89</v>
      </c>
      <c r="B88" s="4">
        <v>443635.6</v>
      </c>
    </row>
    <row r="89" spans="1:2" x14ac:dyDescent="0.2">
      <c r="A89" t="s">
        <v>90</v>
      </c>
      <c r="B89" s="4">
        <v>519193.4</v>
      </c>
    </row>
    <row r="90" spans="1:2" x14ac:dyDescent="0.2">
      <c r="A90" t="s">
        <v>91</v>
      </c>
      <c r="B90" s="4">
        <v>451199.4</v>
      </c>
    </row>
    <row r="91" spans="1:2" x14ac:dyDescent="0.2">
      <c r="A91" t="s">
        <v>92</v>
      </c>
      <c r="B91" s="4">
        <v>460109.9</v>
      </c>
    </row>
    <row r="92" spans="1:2" x14ac:dyDescent="0.2">
      <c r="A92" t="s">
        <v>93</v>
      </c>
      <c r="B92" s="4">
        <v>468440.7</v>
      </c>
    </row>
    <row r="93" spans="1:2" x14ac:dyDescent="0.2">
      <c r="A93" t="s">
        <v>94</v>
      </c>
      <c r="B93" s="4">
        <v>537951.80000000005</v>
      </c>
    </row>
    <row r="94" spans="1:2" x14ac:dyDescent="0.2">
      <c r="A94" t="s">
        <v>95</v>
      </c>
      <c r="B94" s="4">
        <v>478499.8</v>
      </c>
    </row>
    <row r="95" spans="1:2" x14ac:dyDescent="0.2">
      <c r="A95" t="s">
        <v>96</v>
      </c>
      <c r="B95" s="4">
        <v>490771</v>
      </c>
    </row>
    <row r="96" spans="1:2" x14ac:dyDescent="0.2">
      <c r="A96" t="s">
        <v>97</v>
      </c>
      <c r="B96" s="4">
        <v>500068.6</v>
      </c>
    </row>
    <row r="97" spans="1:2" x14ac:dyDescent="0.2">
      <c r="A97" t="s">
        <v>98</v>
      </c>
      <c r="B97" s="4">
        <v>568062.9</v>
      </c>
    </row>
    <row r="98" spans="1:2" x14ac:dyDescent="0.2">
      <c r="A98" t="s">
        <v>99</v>
      </c>
      <c r="B98" s="4">
        <v>502194</v>
      </c>
    </row>
    <row r="99" spans="1:2" x14ac:dyDescent="0.2">
      <c r="A99" t="s">
        <v>100</v>
      </c>
      <c r="B99" s="4">
        <v>515106.7</v>
      </c>
    </row>
    <row r="100" spans="1:2" x14ac:dyDescent="0.2">
      <c r="A100" t="s">
        <v>101</v>
      </c>
      <c r="B100" s="4">
        <v>523544.4</v>
      </c>
    </row>
    <row r="101" spans="1:2" x14ac:dyDescent="0.2">
      <c r="A101" t="s">
        <v>102</v>
      </c>
      <c r="B101" s="4">
        <v>587840</v>
      </c>
    </row>
    <row r="102" spans="1:2" x14ac:dyDescent="0.2">
      <c r="A102" t="s">
        <v>103</v>
      </c>
      <c r="B102" s="4">
        <v>515596.79999999999</v>
      </c>
    </row>
    <row r="103" spans="1:2" x14ac:dyDescent="0.2">
      <c r="A103" t="s">
        <v>104</v>
      </c>
      <c r="B103" s="4">
        <v>475485.3</v>
      </c>
    </row>
    <row r="104" spans="1:2" x14ac:dyDescent="0.2">
      <c r="A104" t="s">
        <v>105</v>
      </c>
      <c r="B104" s="4">
        <v>515651.8</v>
      </c>
    </row>
    <row r="105" spans="1:2" x14ac:dyDescent="0.2">
      <c r="A105" t="s">
        <v>106</v>
      </c>
      <c r="B105" s="4">
        <v>578095.19999999995</v>
      </c>
    </row>
    <row r="106" spans="1:2" x14ac:dyDescent="0.2">
      <c r="A106" t="s">
        <v>107</v>
      </c>
      <c r="B106" s="4">
        <v>515192.2</v>
      </c>
    </row>
    <row r="107" spans="1:2" x14ac:dyDescent="0.2">
      <c r="A107" t="s">
        <v>108</v>
      </c>
      <c r="B107" s="4">
        <v>527903.6</v>
      </c>
    </row>
    <row r="108" spans="1:2" x14ac:dyDescent="0.2">
      <c r="A108" t="s">
        <v>109</v>
      </c>
      <c r="B108" s="4">
        <v>549046.19999999995</v>
      </c>
    </row>
    <row r="109" spans="1:2" x14ac:dyDescent="0.2">
      <c r="A109" t="s">
        <v>110</v>
      </c>
      <c r="B109" s="4">
        <v>630897</v>
      </c>
    </row>
    <row r="110" spans="1:2" x14ac:dyDescent="0.2">
      <c r="A110" t="s">
        <v>111</v>
      </c>
      <c r="B110" s="4">
        <v>563631</v>
      </c>
    </row>
    <row r="111" spans="1:2" x14ac:dyDescent="0.2">
      <c r="A111" t="s">
        <v>112</v>
      </c>
      <c r="B111" s="4">
        <v>558489</v>
      </c>
    </row>
    <row r="112" spans="1:2" x14ac:dyDescent="0.2">
      <c r="A112" t="s">
        <v>113</v>
      </c>
      <c r="B112" s="4">
        <v>582879</v>
      </c>
    </row>
    <row r="113" spans="1:2" x14ac:dyDescent="0.2">
      <c r="A113" t="s">
        <v>114</v>
      </c>
      <c r="B113" s="4">
        <v>639328.6</v>
      </c>
    </row>
    <row r="114" spans="1:2" x14ac:dyDescent="0.2">
      <c r="A114" t="s">
        <v>115</v>
      </c>
      <c r="B114" s="4">
        <v>563232.9</v>
      </c>
    </row>
    <row r="115" spans="1:2" x14ac:dyDescent="0.2">
      <c r="A115" t="s">
        <v>116</v>
      </c>
      <c r="B115" s="4">
        <v>558446</v>
      </c>
    </row>
    <row r="116" spans="1:2" x14ac:dyDescent="0.2">
      <c r="A116" t="s">
        <v>117</v>
      </c>
      <c r="B116" s="4">
        <v>591790.9</v>
      </c>
    </row>
    <row r="117" spans="1:2" x14ac:dyDescent="0.2">
      <c r="A117" t="s">
        <v>118</v>
      </c>
      <c r="B117" s="4">
        <v>661423</v>
      </c>
    </row>
    <row r="118" spans="1:2" x14ac:dyDescent="0.2">
      <c r="A118" t="s">
        <v>119</v>
      </c>
      <c r="B118" s="4">
        <v>569280.19999999995</v>
      </c>
    </row>
    <row r="119" spans="1:2" x14ac:dyDescent="0.2">
      <c r="A119" t="s">
        <v>120</v>
      </c>
      <c r="B119" s="4">
        <v>581442</v>
      </c>
    </row>
    <row r="120" spans="1:2" x14ac:dyDescent="0.2">
      <c r="A120" t="s">
        <v>121</v>
      </c>
      <c r="B120" s="4">
        <v>593521.19999999995</v>
      </c>
    </row>
    <row r="121" spans="1:2" x14ac:dyDescent="0.2">
      <c r="A121" t="s">
        <v>122</v>
      </c>
      <c r="B121" s="4">
        <v>679844.6</v>
      </c>
    </row>
    <row r="122" spans="1:2" x14ac:dyDescent="0.2">
      <c r="A122" t="s">
        <v>123</v>
      </c>
      <c r="B122" s="4">
        <v>581062.19999999995</v>
      </c>
    </row>
    <row r="123" spans="1:2" x14ac:dyDescent="0.2">
      <c r="A123" t="s">
        <v>124</v>
      </c>
      <c r="B123" s="4">
        <v>594051.5</v>
      </c>
    </row>
    <row r="124" spans="1:2" x14ac:dyDescent="0.2">
      <c r="A124" t="s">
        <v>125</v>
      </c>
      <c r="B124" s="4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6ABC-67BA-6146-BBE4-0EBC5383E81E}">
  <dimension ref="A1:B31"/>
  <sheetViews>
    <sheetView workbookViewId="0">
      <selection activeCell="B31" sqref="B31"/>
    </sheetView>
  </sheetViews>
  <sheetFormatPr baseColWidth="10" defaultRowHeight="16" x14ac:dyDescent="0.2"/>
  <cols>
    <col min="1" max="1" width="7.5" bestFit="1" customWidth="1"/>
    <col min="2" max="2" width="14.83203125" style="4" bestFit="1" customWidth="1"/>
  </cols>
  <sheetData>
    <row r="1" spans="1:2" x14ac:dyDescent="0.2">
      <c r="A1" t="s">
        <v>0</v>
      </c>
      <c r="B1" s="4" t="s">
        <v>1</v>
      </c>
    </row>
    <row r="2" spans="1:2" x14ac:dyDescent="0.2">
      <c r="A2">
        <v>1995</v>
      </c>
      <c r="B2" s="4">
        <v>305683</v>
      </c>
    </row>
    <row r="3" spans="1:2" x14ac:dyDescent="0.2">
      <c r="A3">
        <v>1996</v>
      </c>
      <c r="B3" s="4">
        <v>381615</v>
      </c>
    </row>
    <row r="4" spans="1:2" x14ac:dyDescent="0.2">
      <c r="A4">
        <v>1997</v>
      </c>
      <c r="B4" s="4">
        <v>462705</v>
      </c>
    </row>
    <row r="5" spans="1:2" x14ac:dyDescent="0.2">
      <c r="A5">
        <v>1998</v>
      </c>
      <c r="B5" s="4">
        <v>540613</v>
      </c>
    </row>
    <row r="6" spans="1:2" x14ac:dyDescent="0.2">
      <c r="A6">
        <v>1999</v>
      </c>
      <c r="B6" s="4">
        <v>595994</v>
      </c>
    </row>
    <row r="7" spans="1:2" x14ac:dyDescent="0.2">
      <c r="A7">
        <v>2000</v>
      </c>
      <c r="B7" s="4">
        <v>667508</v>
      </c>
    </row>
    <row r="8" spans="1:2" x14ac:dyDescent="0.2">
      <c r="A8">
        <v>2001</v>
      </c>
      <c r="B8" s="4">
        <v>698576</v>
      </c>
    </row>
    <row r="9" spans="1:2" x14ac:dyDescent="0.2">
      <c r="A9">
        <v>2002</v>
      </c>
      <c r="B9" s="4">
        <v>719112</v>
      </c>
    </row>
    <row r="10" spans="1:2" x14ac:dyDescent="0.2">
      <c r="A10">
        <v>2003</v>
      </c>
      <c r="B10" s="4">
        <v>749286</v>
      </c>
    </row>
    <row r="11" spans="1:2" x14ac:dyDescent="0.2">
      <c r="A11">
        <v>2004</v>
      </c>
      <c r="B11" s="4">
        <v>829566</v>
      </c>
    </row>
    <row r="12" spans="1:2" x14ac:dyDescent="0.2">
      <c r="A12">
        <v>2005</v>
      </c>
      <c r="B12" s="4">
        <v>873226</v>
      </c>
    </row>
    <row r="13" spans="1:2" x14ac:dyDescent="0.2">
      <c r="A13">
        <v>2006</v>
      </c>
      <c r="B13" s="4">
        <v>941223</v>
      </c>
    </row>
    <row r="14" spans="1:2" x14ac:dyDescent="0.2">
      <c r="A14">
        <v>2007</v>
      </c>
      <c r="B14" s="4">
        <v>1038360</v>
      </c>
    </row>
    <row r="15" spans="1:2" x14ac:dyDescent="0.2">
      <c r="A15">
        <v>2008</v>
      </c>
      <c r="B15" s="4">
        <v>1126401</v>
      </c>
    </row>
    <row r="16" spans="1:2" x14ac:dyDescent="0.2">
      <c r="A16">
        <v>2009</v>
      </c>
      <c r="B16" s="4">
        <v>1221462</v>
      </c>
    </row>
    <row r="17" spans="1:2" x14ac:dyDescent="0.2">
      <c r="A17">
        <v>2010</v>
      </c>
      <c r="B17" s="4">
        <v>1267828</v>
      </c>
    </row>
    <row r="18" spans="1:2" x14ac:dyDescent="0.2">
      <c r="A18">
        <v>2011</v>
      </c>
      <c r="B18" s="4">
        <v>1374078</v>
      </c>
    </row>
    <row r="19" spans="1:2" x14ac:dyDescent="0.2">
      <c r="A19">
        <v>2012</v>
      </c>
      <c r="B19" s="4">
        <v>1436474</v>
      </c>
    </row>
    <row r="20" spans="1:2" x14ac:dyDescent="0.2">
      <c r="A20">
        <v>2013</v>
      </c>
      <c r="B20" s="4">
        <v>1451790</v>
      </c>
    </row>
    <row r="21" spans="1:2" x14ac:dyDescent="0.2">
      <c r="A21">
        <v>2014</v>
      </c>
      <c r="B21" s="4">
        <v>1515422</v>
      </c>
    </row>
    <row r="22" spans="1:2" x14ac:dyDescent="0.2">
      <c r="A22">
        <v>2015</v>
      </c>
      <c r="B22" s="4">
        <v>1606480</v>
      </c>
    </row>
    <row r="23" spans="1:2" x14ac:dyDescent="0.2">
      <c r="A23">
        <v>2016</v>
      </c>
      <c r="B23" s="4">
        <v>1648760</v>
      </c>
    </row>
    <row r="24" spans="1:2" x14ac:dyDescent="0.2">
      <c r="A24">
        <v>2017</v>
      </c>
      <c r="B24" s="4">
        <v>1754526</v>
      </c>
    </row>
    <row r="25" spans="1:2" x14ac:dyDescent="0.2">
      <c r="A25">
        <v>2018</v>
      </c>
      <c r="B25" s="4">
        <v>1883514</v>
      </c>
    </row>
    <row r="26" spans="1:2" x14ac:dyDescent="0.2">
      <c r="A26">
        <v>2019</v>
      </c>
      <c r="B26" s="4">
        <v>2036872</v>
      </c>
    </row>
    <row r="27" spans="1:2" x14ac:dyDescent="0.2">
      <c r="A27">
        <v>2020</v>
      </c>
      <c r="B27" s="4">
        <v>2084829</v>
      </c>
    </row>
    <row r="28" spans="1:2" x14ac:dyDescent="0.2">
      <c r="A28">
        <v>2021</v>
      </c>
      <c r="B28" s="4">
        <v>2320410</v>
      </c>
    </row>
    <row r="29" spans="1:2" x14ac:dyDescent="0.2">
      <c r="A29">
        <v>2022</v>
      </c>
      <c r="B29" s="4">
        <v>2766246</v>
      </c>
    </row>
    <row r="30" spans="1:2" x14ac:dyDescent="0.2">
      <c r="A30">
        <v>2023</v>
      </c>
      <c r="B30" s="4">
        <v>3085935</v>
      </c>
    </row>
    <row r="31" spans="1:2" x14ac:dyDescent="0.2">
      <c r="A31">
        <v>2024</v>
      </c>
      <c r="B31" s="4">
        <v>3249214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CD7A66-0E85-4D4D-A455-271DBB991F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POLAND_GVA_ANALYSIS</vt:lpstr>
      <vt:lpstr>NANQ</vt:lpstr>
      <vt:lpstr>NANA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2025-11-07T12:49:58Z</dcterms:created>
  <dcterms:modified xsi:type="dcterms:W3CDTF">2025-11-07T14:59:14Z</dcterms:modified>
</cp:coreProperties>
</file>