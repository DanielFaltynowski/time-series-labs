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ielfaltynowski/Documents/Repositories/time-series-labs/labs/02_base_versus_real_prices/excel/"/>
    </mc:Choice>
  </mc:AlternateContent>
  <xr:revisionPtr revIDLastSave="0" documentId="13_ncr:1_{D9F754DF-8A76-5144-8B3A-E2D7D8381F54}" xr6:coauthVersionLast="47" xr6:coauthVersionMax="47" xr10:uidLastSave="{00000000-0000-0000-0000-000000000000}"/>
  <bookViews>
    <workbookView xWindow="380" yWindow="500" windowWidth="28040" windowHeight="16020" xr2:uid="{89C6EF17-6D7C-1E4E-801A-59B52683BE08}"/>
  </bookViews>
  <sheets>
    <sheet name="Poland GVA" sheetId="2" r:id="rId1"/>
    <sheet name="Indicators" sheetId="3" r:id="rId2"/>
  </sheets>
  <definedNames>
    <definedName name="ExternalData_1" localSheetId="0" hidden="1">'Poland GVA'!$A$1:$D$123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" i="2" l="1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3" i="2"/>
  <c r="C7" i="2"/>
  <c r="C11" i="2" s="1"/>
  <c r="C15" i="2" s="1"/>
  <c r="C19" i="2" s="1"/>
  <c r="C23" i="2" s="1"/>
  <c r="C27" i="2" s="1"/>
  <c r="C31" i="2" s="1"/>
  <c r="C35" i="2" s="1"/>
  <c r="C39" i="2" s="1"/>
  <c r="C43" i="2" s="1"/>
  <c r="C47" i="2" s="1"/>
  <c r="C51" i="2" s="1"/>
  <c r="C55" i="2" s="1"/>
  <c r="C59" i="2" s="1"/>
  <c r="C63" i="2" s="1"/>
  <c r="C67" i="2" s="1"/>
  <c r="C71" i="2" s="1"/>
  <c r="C75" i="2" s="1"/>
  <c r="C79" i="2" s="1"/>
  <c r="C83" i="2" s="1"/>
  <c r="C87" i="2" s="1"/>
  <c r="C91" i="2" s="1"/>
  <c r="C95" i="2" s="1"/>
  <c r="C99" i="2" s="1"/>
  <c r="C103" i="2" s="1"/>
  <c r="C107" i="2" s="1"/>
  <c r="C111" i="2" s="1"/>
  <c r="C115" i="2" s="1"/>
  <c r="C119" i="2" s="1"/>
  <c r="C123" i="2" s="1"/>
  <c r="C8" i="2"/>
  <c r="C12" i="2" s="1"/>
  <c r="C16" i="2" s="1"/>
  <c r="C20" i="2" s="1"/>
  <c r="C24" i="2" s="1"/>
  <c r="C28" i="2" s="1"/>
  <c r="C32" i="2" s="1"/>
  <c r="C36" i="2" s="1"/>
  <c r="C40" i="2" s="1"/>
  <c r="C44" i="2" s="1"/>
  <c r="C48" i="2" s="1"/>
  <c r="C52" i="2" s="1"/>
  <c r="C56" i="2" s="1"/>
  <c r="C60" i="2" s="1"/>
  <c r="C64" i="2" s="1"/>
  <c r="C68" i="2" s="1"/>
  <c r="C72" i="2" s="1"/>
  <c r="C76" i="2" s="1"/>
  <c r="C80" i="2" s="1"/>
  <c r="C84" i="2" s="1"/>
  <c r="C88" i="2" s="1"/>
  <c r="C92" i="2" s="1"/>
  <c r="C96" i="2" s="1"/>
  <c r="C100" i="2" s="1"/>
  <c r="C104" i="2" s="1"/>
  <c r="C108" i="2" s="1"/>
  <c r="C112" i="2" s="1"/>
  <c r="C116" i="2" s="1"/>
  <c r="C120" i="2" s="1"/>
  <c r="C9" i="2"/>
  <c r="C13" i="2" s="1"/>
  <c r="C17" i="2" s="1"/>
  <c r="C21" i="2" s="1"/>
  <c r="C25" i="2" s="1"/>
  <c r="C29" i="2" s="1"/>
  <c r="C33" i="2" s="1"/>
  <c r="C37" i="2" s="1"/>
  <c r="C41" i="2" s="1"/>
  <c r="C45" i="2" s="1"/>
  <c r="C49" i="2" s="1"/>
  <c r="C53" i="2" s="1"/>
  <c r="C57" i="2" s="1"/>
  <c r="C61" i="2" s="1"/>
  <c r="C65" i="2" s="1"/>
  <c r="C69" i="2" s="1"/>
  <c r="C73" i="2" s="1"/>
  <c r="C77" i="2" s="1"/>
  <c r="C81" i="2" s="1"/>
  <c r="C85" i="2" s="1"/>
  <c r="C89" i="2" s="1"/>
  <c r="C93" i="2" s="1"/>
  <c r="C97" i="2" s="1"/>
  <c r="C101" i="2" s="1"/>
  <c r="C105" i="2" s="1"/>
  <c r="C109" i="2" s="1"/>
  <c r="C113" i="2" s="1"/>
  <c r="C117" i="2" s="1"/>
  <c r="C121" i="2" s="1"/>
  <c r="C6" i="2"/>
  <c r="C10" i="2" s="1"/>
  <c r="C14" i="2" s="1"/>
  <c r="C18" i="2" s="1"/>
  <c r="C22" i="2" s="1"/>
  <c r="C26" i="2" s="1"/>
  <c r="C30" i="2" s="1"/>
  <c r="C34" i="2" s="1"/>
  <c r="C38" i="2" s="1"/>
  <c r="C42" i="2" s="1"/>
  <c r="C46" i="2" s="1"/>
  <c r="C50" i="2" s="1"/>
  <c r="C54" i="2" s="1"/>
  <c r="C58" i="2" s="1"/>
  <c r="C62" i="2" s="1"/>
  <c r="C66" i="2" s="1"/>
  <c r="C70" i="2" s="1"/>
  <c r="C74" i="2" s="1"/>
  <c r="C78" i="2" s="1"/>
  <c r="C82" i="2" s="1"/>
  <c r="C86" i="2" s="1"/>
  <c r="C90" i="2" s="1"/>
  <c r="C94" i="2" s="1"/>
  <c r="C98" i="2" s="1"/>
  <c r="C102" i="2" s="1"/>
  <c r="C106" i="2" s="1"/>
  <c r="C110" i="2" s="1"/>
  <c r="C114" i="2" s="1"/>
  <c r="C118" i="2" s="1"/>
  <c r="C122" i="2" s="1"/>
  <c r="B7" i="2"/>
  <c r="B11" i="2" s="1"/>
  <c r="B15" i="2" s="1"/>
  <c r="B19" i="2" s="1"/>
  <c r="B23" i="2" s="1"/>
  <c r="B27" i="2" s="1"/>
  <c r="B31" i="2" s="1"/>
  <c r="B35" i="2" s="1"/>
  <c r="B39" i="2" s="1"/>
  <c r="B43" i="2" s="1"/>
  <c r="B47" i="2" s="1"/>
  <c r="B51" i="2" s="1"/>
  <c r="B55" i="2" s="1"/>
  <c r="B59" i="2" s="1"/>
  <c r="B63" i="2" s="1"/>
  <c r="B67" i="2" s="1"/>
  <c r="B71" i="2" s="1"/>
  <c r="B75" i="2" s="1"/>
  <c r="B79" i="2" s="1"/>
  <c r="B83" i="2" s="1"/>
  <c r="B87" i="2" s="1"/>
  <c r="B91" i="2" s="1"/>
  <c r="B95" i="2" s="1"/>
  <c r="B99" i="2" s="1"/>
  <c r="B103" i="2" s="1"/>
  <c r="B107" i="2" s="1"/>
  <c r="B111" i="2" s="1"/>
  <c r="B115" i="2" s="1"/>
  <c r="B119" i="2" s="1"/>
  <c r="B123" i="2" s="1"/>
  <c r="B8" i="2"/>
  <c r="B12" i="2" s="1"/>
  <c r="B16" i="2" s="1"/>
  <c r="B20" i="2" s="1"/>
  <c r="B24" i="2" s="1"/>
  <c r="B28" i="2" s="1"/>
  <c r="B32" i="2" s="1"/>
  <c r="B36" i="2" s="1"/>
  <c r="B40" i="2" s="1"/>
  <c r="B44" i="2" s="1"/>
  <c r="B48" i="2" s="1"/>
  <c r="B52" i="2" s="1"/>
  <c r="B56" i="2" s="1"/>
  <c r="B60" i="2" s="1"/>
  <c r="B64" i="2" s="1"/>
  <c r="B68" i="2" s="1"/>
  <c r="B72" i="2" s="1"/>
  <c r="B76" i="2" s="1"/>
  <c r="B80" i="2" s="1"/>
  <c r="B84" i="2" s="1"/>
  <c r="B88" i="2" s="1"/>
  <c r="B92" i="2" s="1"/>
  <c r="B96" i="2" s="1"/>
  <c r="B100" i="2" s="1"/>
  <c r="B104" i="2" s="1"/>
  <c r="B108" i="2" s="1"/>
  <c r="B112" i="2" s="1"/>
  <c r="B116" i="2" s="1"/>
  <c r="B120" i="2" s="1"/>
  <c r="B9" i="2"/>
  <c r="B13" i="2" s="1"/>
  <c r="B17" i="2" s="1"/>
  <c r="B21" i="2" s="1"/>
  <c r="B25" i="2" s="1"/>
  <c r="B29" i="2" s="1"/>
  <c r="B33" i="2" s="1"/>
  <c r="B37" i="2" s="1"/>
  <c r="B41" i="2" s="1"/>
  <c r="B45" i="2" s="1"/>
  <c r="B49" i="2" s="1"/>
  <c r="B53" i="2" s="1"/>
  <c r="B57" i="2" s="1"/>
  <c r="B61" i="2" s="1"/>
  <c r="B65" i="2" s="1"/>
  <c r="B69" i="2" s="1"/>
  <c r="B73" i="2" s="1"/>
  <c r="B77" i="2" s="1"/>
  <c r="B81" i="2" s="1"/>
  <c r="B85" i="2" s="1"/>
  <c r="B89" i="2" s="1"/>
  <c r="B93" i="2" s="1"/>
  <c r="B97" i="2" s="1"/>
  <c r="B101" i="2" s="1"/>
  <c r="B105" i="2" s="1"/>
  <c r="B109" i="2" s="1"/>
  <c r="B113" i="2" s="1"/>
  <c r="B117" i="2" s="1"/>
  <c r="B121" i="2" s="1"/>
  <c r="B6" i="2"/>
  <c r="B10" i="2" s="1"/>
  <c r="B14" i="2" s="1"/>
  <c r="B18" i="2" s="1"/>
  <c r="B22" i="2" s="1"/>
  <c r="B26" i="2" s="1"/>
  <c r="B30" i="2" s="1"/>
  <c r="B34" i="2" s="1"/>
  <c r="B38" i="2" s="1"/>
  <c r="B42" i="2" s="1"/>
  <c r="B46" i="2" s="1"/>
  <c r="B50" i="2" s="1"/>
  <c r="B54" i="2" s="1"/>
  <c r="B58" i="2" s="1"/>
  <c r="B62" i="2" s="1"/>
  <c r="B66" i="2" s="1"/>
  <c r="B70" i="2" s="1"/>
  <c r="B74" i="2" s="1"/>
  <c r="B78" i="2" s="1"/>
  <c r="B82" i="2" s="1"/>
  <c r="B86" i="2" s="1"/>
  <c r="B90" i="2" s="1"/>
  <c r="B94" i="2" s="1"/>
  <c r="B98" i="2" s="1"/>
  <c r="B102" i="2" s="1"/>
  <c r="B106" i="2" s="1"/>
  <c r="B110" i="2" s="1"/>
  <c r="B114" i="2" s="1"/>
  <c r="B118" i="2" s="1"/>
  <c r="B122" i="2" s="1"/>
  <c r="B5" i="3" l="1"/>
  <c r="B3" i="3"/>
  <c r="B4" i="3"/>
  <c r="B2" i="3"/>
  <c r="A8" i="3" l="1"/>
  <c r="C2" i="3" s="1" a="1"/>
  <c r="C2" i="3" s="1"/>
  <c r="C5" i="3" l="1" a="1"/>
  <c r="C5" i="3" s="1"/>
  <c r="C3" i="3" a="1"/>
  <c r="C3" i="3" s="1"/>
  <c r="C4" i="3" a="1"/>
  <c r="C4" i="3" s="1"/>
  <c r="F90" i="2"/>
  <c r="F26" i="2"/>
  <c r="F62" i="2"/>
  <c r="F98" i="2"/>
  <c r="F46" i="2"/>
  <c r="F30" i="2"/>
  <c r="F82" i="2"/>
  <c r="F18" i="2"/>
  <c r="F118" i="2"/>
  <c r="F54" i="2"/>
  <c r="F74" i="2"/>
  <c r="F10" i="2"/>
  <c r="F110" i="2"/>
  <c r="F66" i="2"/>
  <c r="F122" i="2"/>
  <c r="F114" i="2"/>
  <c r="F102" i="2"/>
  <c r="F38" i="2"/>
  <c r="F58" i="2"/>
  <c r="F94" i="2"/>
  <c r="F50" i="2"/>
  <c r="F86" i="2"/>
  <c r="F22" i="2"/>
  <c r="F78" i="2"/>
  <c r="F42" i="2"/>
  <c r="F14" i="2"/>
  <c r="F34" i="2"/>
  <c r="F106" i="2"/>
  <c r="F70" i="2"/>
  <c r="F6" i="2"/>
  <c r="F56" i="2" l="1"/>
  <c r="F88" i="2"/>
  <c r="F68" i="2"/>
  <c r="F4" i="2"/>
  <c r="F100" i="2"/>
  <c r="F36" i="2"/>
  <c r="F84" i="2"/>
  <c r="F48" i="2"/>
  <c r="F112" i="2"/>
  <c r="F60" i="2"/>
  <c r="F40" i="2"/>
  <c r="F104" i="2"/>
  <c r="F116" i="2"/>
  <c r="F52" i="2"/>
  <c r="F32" i="2"/>
  <c r="F108" i="2"/>
  <c r="F44" i="2"/>
  <c r="F120" i="2"/>
  <c r="F24" i="2"/>
  <c r="F96" i="2"/>
  <c r="F16" i="2"/>
  <c r="F92" i="2"/>
  <c r="F28" i="2"/>
  <c r="F72" i="2"/>
  <c r="F8" i="2"/>
  <c r="F20" i="2"/>
  <c r="F12" i="2"/>
  <c r="F64" i="2"/>
  <c r="F80" i="2"/>
  <c r="F76" i="2"/>
  <c r="F3" i="2"/>
  <c r="F67" i="2"/>
  <c r="F55" i="2"/>
  <c r="F111" i="2"/>
  <c r="F123" i="2"/>
  <c r="F59" i="2"/>
  <c r="F119" i="2"/>
  <c r="F47" i="2"/>
  <c r="F115" i="2"/>
  <c r="F51" i="2"/>
  <c r="F103" i="2"/>
  <c r="F39" i="2"/>
  <c r="F107" i="2"/>
  <c r="F43" i="2"/>
  <c r="F95" i="2"/>
  <c r="F31" i="2"/>
  <c r="F99" i="2"/>
  <c r="F35" i="2"/>
  <c r="F87" i="2"/>
  <c r="F23" i="2"/>
  <c r="F91" i="2"/>
  <c r="F27" i="2"/>
  <c r="F79" i="2"/>
  <c r="F15" i="2"/>
  <c r="F71" i="2"/>
  <c r="F7" i="2"/>
  <c r="F83" i="2"/>
  <c r="F19" i="2"/>
  <c r="F75" i="2"/>
  <c r="F11" i="2"/>
  <c r="F63" i="2"/>
  <c r="F89" i="2"/>
  <c r="F25" i="2"/>
  <c r="F77" i="2"/>
  <c r="F13" i="2"/>
  <c r="F61" i="2"/>
  <c r="F21" i="2"/>
  <c r="F81" i="2"/>
  <c r="F17" i="2"/>
  <c r="F69" i="2"/>
  <c r="F5" i="2"/>
  <c r="F73" i="2"/>
  <c r="F9" i="2"/>
  <c r="F65" i="2"/>
  <c r="F117" i="2"/>
  <c r="F53" i="2"/>
  <c r="F121" i="2"/>
  <c r="F57" i="2"/>
  <c r="F109" i="2"/>
  <c r="F45" i="2"/>
  <c r="F113" i="2"/>
  <c r="F49" i="2"/>
  <c r="F101" i="2"/>
  <c r="F37" i="2"/>
  <c r="F41" i="2"/>
  <c r="F93" i="2"/>
  <c r="F105" i="2"/>
  <c r="F29" i="2"/>
  <c r="F97" i="2"/>
  <c r="F33" i="2"/>
  <c r="F85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4F9562F-7A35-074C-8F43-2D2D9DBFA88F}" keepAlive="1" name="Query - Sheet 1" description="Connection to the 'Sheet 1' query in the workbook." type="5" refreshedVersion="8" background="1" saveData="1">
    <dbPr connection="Provider=Microsoft.Mashup.OleDb.1;Data Source=$Workbook$;Location=&quot;Sheet 1&quot;;Extended Properties=&quot;&quot;" command="SELECT * FROM [Sheet 1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<sst xmlns="http://schemas.openxmlformats.org/spreadsheetml/2006/main" count="132" uniqueCount="131">
  <si>
    <t>TIME</t>
  </si>
  <si>
    <t>1995-Q1</t>
  </si>
  <si>
    <t>1995-Q2</t>
  </si>
  <si>
    <t>1995-Q3</t>
  </si>
  <si>
    <t>1995-Q4</t>
  </si>
  <si>
    <t>1996-Q1</t>
  </si>
  <si>
    <t>1996-Q2</t>
  </si>
  <si>
    <t>1996-Q3</t>
  </si>
  <si>
    <t>1996-Q4</t>
  </si>
  <si>
    <t>1997-Q1</t>
  </si>
  <si>
    <t>1997-Q2</t>
  </si>
  <si>
    <t>1997-Q3</t>
  </si>
  <si>
    <t>1997-Q4</t>
  </si>
  <si>
    <t>1998-Q1</t>
  </si>
  <si>
    <t>1998-Q2</t>
  </si>
  <si>
    <t>1998-Q3</t>
  </si>
  <si>
    <t>1998-Q4</t>
  </si>
  <si>
    <t>1999-Q1</t>
  </si>
  <si>
    <t>1999-Q2</t>
  </si>
  <si>
    <t>1999-Q3</t>
  </si>
  <si>
    <t>1999-Q4</t>
  </si>
  <si>
    <t>2000-Q1</t>
  </si>
  <si>
    <t>2000-Q2</t>
  </si>
  <si>
    <t>2000-Q3</t>
  </si>
  <si>
    <t>2000-Q4</t>
  </si>
  <si>
    <t>2001-Q1</t>
  </si>
  <si>
    <t>2001-Q2</t>
  </si>
  <si>
    <t>2001-Q3</t>
  </si>
  <si>
    <t>2001-Q4</t>
  </si>
  <si>
    <t>2002-Q1</t>
  </si>
  <si>
    <t>2002-Q2</t>
  </si>
  <si>
    <t>2002-Q3</t>
  </si>
  <si>
    <t>2002-Q4</t>
  </si>
  <si>
    <t>2003-Q1</t>
  </si>
  <si>
    <t>2003-Q2</t>
  </si>
  <si>
    <t>2003-Q3</t>
  </si>
  <si>
    <t>2003-Q4</t>
  </si>
  <si>
    <t>2004-Q1</t>
  </si>
  <si>
    <t>2004-Q2</t>
  </si>
  <si>
    <t>2004-Q3</t>
  </si>
  <si>
    <t>2004-Q4</t>
  </si>
  <si>
    <t>2005-Q1</t>
  </si>
  <si>
    <t>2005-Q2</t>
  </si>
  <si>
    <t>2005-Q3</t>
  </si>
  <si>
    <t>2005-Q4</t>
  </si>
  <si>
    <t>2006-Q1</t>
  </si>
  <si>
    <t>2006-Q2</t>
  </si>
  <si>
    <t>2006-Q3</t>
  </si>
  <si>
    <t>2006-Q4</t>
  </si>
  <si>
    <t>2007-Q1</t>
  </si>
  <si>
    <t>2007-Q2</t>
  </si>
  <si>
    <t>2007-Q3</t>
  </si>
  <si>
    <t>2007-Q4</t>
  </si>
  <si>
    <t>2008-Q1</t>
  </si>
  <si>
    <t>2008-Q2</t>
  </si>
  <si>
    <t>2008-Q3</t>
  </si>
  <si>
    <t>2008-Q4</t>
  </si>
  <si>
    <t>2009-Q1</t>
  </si>
  <si>
    <t>2009-Q2</t>
  </si>
  <si>
    <t>2009-Q3</t>
  </si>
  <si>
    <t>2009-Q4</t>
  </si>
  <si>
    <t>2010-Q1</t>
  </si>
  <si>
    <t>2010-Q2</t>
  </si>
  <si>
    <t>2010-Q3</t>
  </si>
  <si>
    <t>2010-Q4</t>
  </si>
  <si>
    <t>2011-Q1</t>
  </si>
  <si>
    <t>2011-Q2</t>
  </si>
  <si>
    <t>2011-Q3</t>
  </si>
  <si>
    <t>2011-Q4</t>
  </si>
  <si>
    <t>2012-Q1</t>
  </si>
  <si>
    <t>2012-Q2</t>
  </si>
  <si>
    <t>2012-Q3</t>
  </si>
  <si>
    <t>2012-Q4</t>
  </si>
  <si>
    <t>2013-Q1</t>
  </si>
  <si>
    <t>2013-Q2</t>
  </si>
  <si>
    <t>2013-Q3</t>
  </si>
  <si>
    <t>2013-Q4</t>
  </si>
  <si>
    <t>2014-Q1</t>
  </si>
  <si>
    <t>2014-Q2</t>
  </si>
  <si>
    <t>2014-Q3</t>
  </si>
  <si>
    <t>2014-Q4</t>
  </si>
  <si>
    <t>2015-Q1</t>
  </si>
  <si>
    <t>2015-Q2</t>
  </si>
  <si>
    <t>2015-Q3</t>
  </si>
  <si>
    <t>2015-Q4</t>
  </si>
  <si>
    <t>2016-Q1</t>
  </si>
  <si>
    <t>2016-Q2</t>
  </si>
  <si>
    <t>2016-Q3</t>
  </si>
  <si>
    <t>2016-Q4</t>
  </si>
  <si>
    <t>2017-Q1</t>
  </si>
  <si>
    <t>2017-Q2</t>
  </si>
  <si>
    <t>2017-Q3</t>
  </si>
  <si>
    <t>2017-Q4</t>
  </si>
  <si>
    <t>2018-Q1</t>
  </si>
  <si>
    <t>2018-Q2</t>
  </si>
  <si>
    <t>2018-Q3</t>
  </si>
  <si>
    <t>2018-Q4</t>
  </si>
  <si>
    <t>2019-Q1</t>
  </si>
  <si>
    <t>2019-Q2</t>
  </si>
  <si>
    <t>2019-Q3</t>
  </si>
  <si>
    <t>2019-Q4</t>
  </si>
  <si>
    <t>2020-Q1</t>
  </si>
  <si>
    <t>2020-Q2</t>
  </si>
  <si>
    <t>2020-Q3</t>
  </si>
  <si>
    <t>2020-Q4</t>
  </si>
  <si>
    <t>2021-Q1</t>
  </si>
  <si>
    <t>2021-Q2</t>
  </si>
  <si>
    <t>2021-Q3</t>
  </si>
  <si>
    <t>2021-Q4</t>
  </si>
  <si>
    <t>2022-Q1</t>
  </si>
  <si>
    <t>2022-Q2</t>
  </si>
  <si>
    <t>2022-Q3</t>
  </si>
  <si>
    <t>2022-Q4</t>
  </si>
  <si>
    <t>2023-Q1</t>
  </si>
  <si>
    <t>2023-Q2</t>
  </si>
  <si>
    <t>2023-Q3</t>
  </si>
  <si>
    <t>2023-Q4</t>
  </si>
  <si>
    <t>2024-Q1</t>
  </si>
  <si>
    <t>2024-Q2</t>
  </si>
  <si>
    <t>2024-Q3</t>
  </si>
  <si>
    <t>2024-Q4</t>
  </si>
  <si>
    <t>2025-Q1</t>
  </si>
  <si>
    <t>2025-Q2</t>
  </si>
  <si>
    <t>GVA</t>
  </si>
  <si>
    <t>YEAR</t>
  </si>
  <si>
    <t>QUARTER</t>
  </si>
  <si>
    <t>GVA_NOTREND</t>
  </si>
  <si>
    <t>RAW</t>
  </si>
  <si>
    <t>CLEANED</t>
  </si>
  <si>
    <t>AVERAGE_RAW_INDICATORS</t>
  </si>
  <si>
    <t>GVA_NOTREND_NOSEASON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</si>
</sst>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PLN&quot;"/>
  </numFmts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1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9"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1" formatCode="0"/>
    </dxf>
    <dxf>
      <numFmt numFmtId="164" formatCode="#,##0.00\ &quot;PLN&quot;"/>
    </dxf>
    <dxf>
      <numFmt numFmtId="1" formatCode="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Relationship Id="rId9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800" b="1"/>
              <a:t>Poland's GVA2020 in 2024 Time Series from 2017-Q1 to 2025-Q2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P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'Poland GVA'!$D$1</c:f>
              <c:strCache>
                <c:ptCount val="1"/>
                <c:pt idx="0">
                  <c:v>GVA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'Poland GVA'!$A$90:$A$123</c:f>
              <c:strCache>
                <c:ptCount val="34"/>
                <c:pt idx="0">
                  <c:v>2017-Q1</c:v>
                </c:pt>
                <c:pt idx="1">
                  <c:v>2017-Q2</c:v>
                </c:pt>
                <c:pt idx="2">
                  <c:v>2017-Q3</c:v>
                </c:pt>
                <c:pt idx="3">
                  <c:v>2017-Q4</c:v>
                </c:pt>
                <c:pt idx="4">
                  <c:v>2018-Q1</c:v>
                </c:pt>
                <c:pt idx="5">
                  <c:v>2018-Q2</c:v>
                </c:pt>
                <c:pt idx="6">
                  <c:v>2018-Q3</c:v>
                </c:pt>
                <c:pt idx="7">
                  <c:v>2018-Q4</c:v>
                </c:pt>
                <c:pt idx="8">
                  <c:v>2019-Q1</c:v>
                </c:pt>
                <c:pt idx="9">
                  <c:v>2019-Q2</c:v>
                </c:pt>
                <c:pt idx="10">
                  <c:v>2019-Q3</c:v>
                </c:pt>
                <c:pt idx="11">
                  <c:v>2019-Q4</c:v>
                </c:pt>
                <c:pt idx="12">
                  <c:v>2020-Q1</c:v>
                </c:pt>
                <c:pt idx="13">
                  <c:v>2020-Q2</c:v>
                </c:pt>
                <c:pt idx="14">
                  <c:v>2020-Q3</c:v>
                </c:pt>
                <c:pt idx="15">
                  <c:v>2020-Q4</c:v>
                </c:pt>
                <c:pt idx="16">
                  <c:v>2021-Q1</c:v>
                </c:pt>
                <c:pt idx="17">
                  <c:v>2021-Q2</c:v>
                </c:pt>
                <c:pt idx="18">
                  <c:v>2021-Q3</c:v>
                </c:pt>
                <c:pt idx="19">
                  <c:v>2021-Q4</c:v>
                </c:pt>
                <c:pt idx="20">
                  <c:v>2022-Q1</c:v>
                </c:pt>
                <c:pt idx="21">
                  <c:v>2022-Q2</c:v>
                </c:pt>
                <c:pt idx="22">
                  <c:v>2022-Q3</c:v>
                </c:pt>
                <c:pt idx="23">
                  <c:v>2022-Q4</c:v>
                </c:pt>
                <c:pt idx="24">
                  <c:v>2023-Q1</c:v>
                </c:pt>
                <c:pt idx="25">
                  <c:v>2023-Q2</c:v>
                </c:pt>
                <c:pt idx="26">
                  <c:v>2023-Q3</c:v>
                </c:pt>
                <c:pt idx="27">
                  <c:v>2023-Q4</c:v>
                </c:pt>
                <c:pt idx="28">
                  <c:v>2024-Q1</c:v>
                </c:pt>
                <c:pt idx="29">
                  <c:v>2024-Q2</c:v>
                </c:pt>
                <c:pt idx="30">
                  <c:v>2024-Q3</c:v>
                </c:pt>
                <c:pt idx="31">
                  <c:v>2024-Q4</c:v>
                </c:pt>
                <c:pt idx="32">
                  <c:v>2025-Q1</c:v>
                </c:pt>
                <c:pt idx="33">
                  <c:v>2025-Q2</c:v>
                </c:pt>
              </c:strCache>
            </c:strRef>
          </c:cat>
          <c:val>
            <c:numRef>
              <c:f>'Poland GVA'!$D$90:$D$123</c:f>
              <c:numCache>
                <c:formatCode>#\ ##0.00\ "PLN"</c:formatCode>
                <c:ptCount val="34"/>
                <c:pt idx="0">
                  <c:v>604781.63856867654</c:v>
                </c:pt>
                <c:pt idx="1">
                  <c:v>616725.15354335553</c:v>
                </c:pt>
                <c:pt idx="2">
                  <c:v>627891.6463946047</c:v>
                </c:pt>
                <c:pt idx="3">
                  <c:v>721063.39475400222</c:v>
                </c:pt>
                <c:pt idx="4">
                  <c:v>641374.72944065079</c:v>
                </c:pt>
                <c:pt idx="5">
                  <c:v>657822.88172809617</c:v>
                </c:pt>
                <c:pt idx="6">
                  <c:v>670285.26036325423</c:v>
                </c:pt>
                <c:pt idx="7">
                  <c:v>761423.91029791767</c:v>
                </c:pt>
                <c:pt idx="8">
                  <c:v>673134.11808472697</c:v>
                </c:pt>
                <c:pt idx="9">
                  <c:v>690442.12838869856</c:v>
                </c:pt>
                <c:pt idx="10">
                  <c:v>701751.90856959182</c:v>
                </c:pt>
                <c:pt idx="11">
                  <c:v>787932.87051403627</c:v>
                </c:pt>
                <c:pt idx="12">
                  <c:v>691099.05187100475</c:v>
                </c:pt>
                <c:pt idx="13">
                  <c:v>637334.13397561864</c:v>
                </c:pt>
                <c:pt idx="14">
                  <c:v>691172.77313508734</c:v>
                </c:pt>
                <c:pt idx="15">
                  <c:v>774871.07098255632</c:v>
                </c:pt>
                <c:pt idx="16">
                  <c:v>690556.73144468141</c:v>
                </c:pt>
                <c:pt idx="17">
                  <c:v>707594.92192211084</c:v>
                </c:pt>
                <c:pt idx="18">
                  <c:v>735934.18006740545</c:v>
                </c:pt>
                <c:pt idx="19">
                  <c:v>845645.89719769661</c:v>
                </c:pt>
                <c:pt idx="20">
                  <c:v>755483.45083814778</c:v>
                </c:pt>
                <c:pt idx="21">
                  <c:v>748591.18283974146</c:v>
                </c:pt>
                <c:pt idx="22">
                  <c:v>781283.21249379241</c:v>
                </c:pt>
                <c:pt idx="23">
                  <c:v>856947.50102020963</c:v>
                </c:pt>
                <c:pt idx="24">
                  <c:v>754949.84292485216</c:v>
                </c:pt>
                <c:pt idx="25">
                  <c:v>748533.54621509498</c:v>
                </c:pt>
                <c:pt idx="26">
                  <c:v>793228.60400973889</c:v>
                </c:pt>
                <c:pt idx="27">
                  <c:v>886562.53915011801</c:v>
                </c:pt>
                <c:pt idx="28">
                  <c:v>763055.56293005683</c:v>
                </c:pt>
                <c:pt idx="29">
                  <c:v>779357.07692130888</c:v>
                </c:pt>
                <c:pt idx="30">
                  <c:v>795547.87497777515</c:v>
                </c:pt>
                <c:pt idx="31">
                  <c:v>911254.60530325724</c:v>
                </c:pt>
                <c:pt idx="32">
                  <c:v>778847.99808315351</c:v>
                </c:pt>
                <c:pt idx="33">
                  <c:v>796258.68200219271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BF9-E849-8EEC-09AA5ECB19C1}"/>
            </c:ext>
          </c:extLst>
        </c:ser>
        <c:ser>
          <c:idx val="1"/>
          <c:order val="1"/>
          <c:tx>
            <c:v>GVA (no trend)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'Poland GVA'!$A$90:$A$123</c:f>
              <c:strCache>
                <c:ptCount val="34"/>
                <c:pt idx="0">
                  <c:v>2017-Q1</c:v>
                </c:pt>
                <c:pt idx="1">
                  <c:v>2017-Q2</c:v>
                </c:pt>
                <c:pt idx="2">
                  <c:v>2017-Q3</c:v>
                </c:pt>
                <c:pt idx="3">
                  <c:v>2017-Q4</c:v>
                </c:pt>
                <c:pt idx="4">
                  <c:v>2018-Q1</c:v>
                </c:pt>
                <c:pt idx="5">
                  <c:v>2018-Q2</c:v>
                </c:pt>
                <c:pt idx="6">
                  <c:v>2018-Q3</c:v>
                </c:pt>
                <c:pt idx="7">
                  <c:v>2018-Q4</c:v>
                </c:pt>
                <c:pt idx="8">
                  <c:v>2019-Q1</c:v>
                </c:pt>
                <c:pt idx="9">
                  <c:v>2019-Q2</c:v>
                </c:pt>
                <c:pt idx="10">
                  <c:v>2019-Q3</c:v>
                </c:pt>
                <c:pt idx="11">
                  <c:v>2019-Q4</c:v>
                </c:pt>
                <c:pt idx="12">
                  <c:v>2020-Q1</c:v>
                </c:pt>
                <c:pt idx="13">
                  <c:v>2020-Q2</c:v>
                </c:pt>
                <c:pt idx="14">
                  <c:v>2020-Q3</c:v>
                </c:pt>
                <c:pt idx="15">
                  <c:v>2020-Q4</c:v>
                </c:pt>
                <c:pt idx="16">
                  <c:v>2021-Q1</c:v>
                </c:pt>
                <c:pt idx="17">
                  <c:v>2021-Q2</c:v>
                </c:pt>
                <c:pt idx="18">
                  <c:v>2021-Q3</c:v>
                </c:pt>
                <c:pt idx="19">
                  <c:v>2021-Q4</c:v>
                </c:pt>
                <c:pt idx="20">
                  <c:v>2022-Q1</c:v>
                </c:pt>
                <c:pt idx="21">
                  <c:v>2022-Q2</c:v>
                </c:pt>
                <c:pt idx="22">
                  <c:v>2022-Q3</c:v>
                </c:pt>
                <c:pt idx="23">
                  <c:v>2022-Q4</c:v>
                </c:pt>
                <c:pt idx="24">
                  <c:v>2023-Q1</c:v>
                </c:pt>
                <c:pt idx="25">
                  <c:v>2023-Q2</c:v>
                </c:pt>
                <c:pt idx="26">
                  <c:v>2023-Q3</c:v>
                </c:pt>
                <c:pt idx="27">
                  <c:v>2023-Q4</c:v>
                </c:pt>
                <c:pt idx="28">
                  <c:v>2024-Q1</c:v>
                </c:pt>
                <c:pt idx="29">
                  <c:v>2024-Q2</c:v>
                </c:pt>
                <c:pt idx="30">
                  <c:v>2024-Q3</c:v>
                </c:pt>
                <c:pt idx="31">
                  <c:v>2024-Q4</c:v>
                </c:pt>
                <c:pt idx="32">
                  <c:v>2025-Q1</c:v>
                </c:pt>
                <c:pt idx="33">
                  <c:v>2025-Q2</c:v>
                </c:pt>
              </c:strCache>
            </c:strRef>
          </c:cat>
          <c:val>
            <c:numRef>
              <c:f>'Poland GVA'!$E$90:$E$123</c:f>
              <c:numCache>
                <c:formatCode>#\ ##0.00\ "PLN"</c:formatCode>
                <c:ptCount val="34"/>
                <c:pt idx="0">
                  <c:v>-91138.247818677453</c:v>
                </c:pt>
                <c:pt idx="1">
                  <c:v>11943.514974678983</c:v>
                </c:pt>
                <c:pt idx="2">
                  <c:v>11166.492851249175</c:v>
                </c:pt>
                <c:pt idx="3">
                  <c:v>93171.748359397519</c:v>
                </c:pt>
                <c:pt idx="4">
                  <c:v>-79688.665313351434</c:v>
                </c:pt>
                <c:pt idx="5">
                  <c:v>16448.15228744538</c:v>
                </c:pt>
                <c:pt idx="6">
                  <c:v>12462.378635158064</c:v>
                </c:pt>
                <c:pt idx="7">
                  <c:v>91138.649934663437</c:v>
                </c:pt>
                <c:pt idx="8">
                  <c:v>-88289.792213190696</c:v>
                </c:pt>
                <c:pt idx="9">
                  <c:v>17308.01030397159</c:v>
                </c:pt>
                <c:pt idx="10">
                  <c:v>11309.780180893256</c:v>
                </c:pt>
                <c:pt idx="11">
                  <c:v>86180.961944444454</c:v>
                </c:pt>
                <c:pt idx="12">
                  <c:v>-96833.818643031525</c:v>
                </c:pt>
                <c:pt idx="13">
                  <c:v>-53764.917895386112</c:v>
                </c:pt>
                <c:pt idx="14">
                  <c:v>53838.639159468701</c:v>
                </c:pt>
                <c:pt idx="15">
                  <c:v>83698.297847468988</c:v>
                </c:pt>
                <c:pt idx="16">
                  <c:v>-84314.339537874912</c:v>
                </c:pt>
                <c:pt idx="17">
                  <c:v>17038.190477429423</c:v>
                </c:pt>
                <c:pt idx="18">
                  <c:v>28339.258145294618</c:v>
                </c:pt>
                <c:pt idx="19">
                  <c:v>109711.71713029116</c:v>
                </c:pt>
                <c:pt idx="20">
                  <c:v>-90162.446359548834</c:v>
                </c:pt>
                <c:pt idx="21">
                  <c:v>-6892.2679984063143</c:v>
                </c:pt>
                <c:pt idx="22">
                  <c:v>32692.029654050944</c:v>
                </c:pt>
                <c:pt idx="23">
                  <c:v>75664.288526417222</c:v>
                </c:pt>
                <c:pt idx="24">
                  <c:v>-101997.65809535747</c:v>
                </c:pt>
                <c:pt idx="25">
                  <c:v>-6416.2967097571818</c:v>
                </c:pt>
                <c:pt idx="26">
                  <c:v>44695.057794643915</c:v>
                </c:pt>
                <c:pt idx="27">
                  <c:v>93333.935140379122</c:v>
                </c:pt>
                <c:pt idx="28">
                  <c:v>-123506.97622006119</c:v>
                </c:pt>
                <c:pt idx="29">
                  <c:v>16301.513991252054</c:v>
                </c:pt>
                <c:pt idx="30">
                  <c:v>16190.798056466272</c:v>
                </c:pt>
                <c:pt idx="31">
                  <c:v>115706.73032548209</c:v>
                </c:pt>
                <c:pt idx="32">
                  <c:v>-132406.60722010373</c:v>
                </c:pt>
                <c:pt idx="33">
                  <c:v>17410.683919039206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BF9-E849-8EEC-09AA5ECB19C1}"/>
            </c:ext>
          </c:extLst>
        </c:ser>
        <c:ser>
          <c:idx val="2"/>
          <c:order val="2"/>
          <c:tx>
            <c:v>GVA (no trend &amp; no seasonality)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'Poland GVA'!$A$90:$A$123</c:f>
              <c:strCache>
                <c:ptCount val="34"/>
                <c:pt idx="0">
                  <c:v>2017-Q1</c:v>
                </c:pt>
                <c:pt idx="1">
                  <c:v>2017-Q2</c:v>
                </c:pt>
                <c:pt idx="2">
                  <c:v>2017-Q3</c:v>
                </c:pt>
                <c:pt idx="3">
                  <c:v>2017-Q4</c:v>
                </c:pt>
                <c:pt idx="4">
                  <c:v>2018-Q1</c:v>
                </c:pt>
                <c:pt idx="5">
                  <c:v>2018-Q2</c:v>
                </c:pt>
                <c:pt idx="6">
                  <c:v>2018-Q3</c:v>
                </c:pt>
                <c:pt idx="7">
                  <c:v>2018-Q4</c:v>
                </c:pt>
                <c:pt idx="8">
                  <c:v>2019-Q1</c:v>
                </c:pt>
                <c:pt idx="9">
                  <c:v>2019-Q2</c:v>
                </c:pt>
                <c:pt idx="10">
                  <c:v>2019-Q3</c:v>
                </c:pt>
                <c:pt idx="11">
                  <c:v>2019-Q4</c:v>
                </c:pt>
                <c:pt idx="12">
                  <c:v>2020-Q1</c:v>
                </c:pt>
                <c:pt idx="13">
                  <c:v>2020-Q2</c:v>
                </c:pt>
                <c:pt idx="14">
                  <c:v>2020-Q3</c:v>
                </c:pt>
                <c:pt idx="15">
                  <c:v>2020-Q4</c:v>
                </c:pt>
                <c:pt idx="16">
                  <c:v>2021-Q1</c:v>
                </c:pt>
                <c:pt idx="17">
                  <c:v>2021-Q2</c:v>
                </c:pt>
                <c:pt idx="18">
                  <c:v>2021-Q3</c:v>
                </c:pt>
                <c:pt idx="19">
                  <c:v>2021-Q4</c:v>
                </c:pt>
                <c:pt idx="20">
                  <c:v>2022-Q1</c:v>
                </c:pt>
                <c:pt idx="21">
                  <c:v>2022-Q2</c:v>
                </c:pt>
                <c:pt idx="22">
                  <c:v>2022-Q3</c:v>
                </c:pt>
                <c:pt idx="23">
                  <c:v>2022-Q4</c:v>
                </c:pt>
                <c:pt idx="24">
                  <c:v>2023-Q1</c:v>
                </c:pt>
                <c:pt idx="25">
                  <c:v>2023-Q2</c:v>
                </c:pt>
                <c:pt idx="26">
                  <c:v>2023-Q3</c:v>
                </c:pt>
                <c:pt idx="27">
                  <c:v>2023-Q4</c:v>
                </c:pt>
                <c:pt idx="28">
                  <c:v>2024-Q1</c:v>
                </c:pt>
                <c:pt idx="29">
                  <c:v>2024-Q2</c:v>
                </c:pt>
                <c:pt idx="30">
                  <c:v>2024-Q3</c:v>
                </c:pt>
                <c:pt idx="31">
                  <c:v>2024-Q4</c:v>
                </c:pt>
                <c:pt idx="32">
                  <c:v>2025-Q1</c:v>
                </c:pt>
                <c:pt idx="33">
                  <c:v>2025-Q2</c:v>
                </c:pt>
              </c:strCache>
            </c:strRef>
          </c:cat>
          <c:val>
            <c:numRef>
              <c:f>'Poland GVA'!$F$90:$F$123</c:f>
              <c:numCache>
                <c:formatCode>#\ ##0.00\ "PLN"</c:formatCode>
                <c:ptCount val="34"/>
                <c:pt idx="0">
                  <c:v>-13821.238737075197</c:v>
                </c:pt>
                <c:pt idx="1">
                  <c:v>5101.7258643060886</c:v>
                </c:pt>
                <c:pt idx="2">
                  <c:v>4402.6934877683343</c:v>
                </c:pt>
                <c:pt idx="3">
                  <c:v>29460.327751648991</c:v>
                </c:pt>
                <c:pt idx="4">
                  <c:v>-2371.6562317491771</c:v>
                </c:pt>
                <c:pt idx="5">
                  <c:v>9606.363177072486</c:v>
                </c:pt>
                <c:pt idx="6">
                  <c:v>5698.579271677223</c:v>
                </c:pt>
                <c:pt idx="7">
                  <c:v>27427.229326914909</c:v>
                </c:pt>
                <c:pt idx="8">
                  <c:v>-10972.78313158844</c:v>
                </c:pt>
                <c:pt idx="9">
                  <c:v>10466.221193598696</c:v>
                </c:pt>
                <c:pt idx="10">
                  <c:v>4545.9808174124155</c:v>
                </c:pt>
                <c:pt idx="11">
                  <c:v>22469.541336695926</c:v>
                </c:pt>
                <c:pt idx="12">
                  <c:v>-19516.809561429269</c:v>
                </c:pt>
                <c:pt idx="13">
                  <c:v>-60606.707005759003</c:v>
                </c:pt>
                <c:pt idx="14">
                  <c:v>47074.839795987864</c:v>
                </c:pt>
                <c:pt idx="15">
                  <c:v>19986.877239720459</c:v>
                </c:pt>
                <c:pt idx="16">
                  <c:v>-6997.3304562726553</c:v>
                </c:pt>
                <c:pt idx="17">
                  <c:v>10196.401367056529</c:v>
                </c:pt>
                <c:pt idx="18">
                  <c:v>21575.458781813777</c:v>
                </c:pt>
                <c:pt idx="19">
                  <c:v>46000.296522542631</c:v>
                </c:pt>
                <c:pt idx="20">
                  <c:v>-12845.437277946578</c:v>
                </c:pt>
                <c:pt idx="21">
                  <c:v>-13734.057108779209</c:v>
                </c:pt>
                <c:pt idx="22">
                  <c:v>25928.230290570104</c:v>
                </c:pt>
                <c:pt idx="23">
                  <c:v>11952.867918668693</c:v>
                </c:pt>
                <c:pt idx="24">
                  <c:v>-24680.649013755217</c:v>
                </c:pt>
                <c:pt idx="25">
                  <c:v>-13258.085820130076</c:v>
                </c:pt>
                <c:pt idx="26">
                  <c:v>37931.258431163078</c:v>
                </c:pt>
                <c:pt idx="27">
                  <c:v>29622.514532630594</c:v>
                </c:pt>
                <c:pt idx="28">
                  <c:v>-46189.967138458931</c:v>
                </c:pt>
                <c:pt idx="29">
                  <c:v>9459.7248808791592</c:v>
                </c:pt>
                <c:pt idx="30">
                  <c:v>9426.9986929854313</c:v>
                </c:pt>
                <c:pt idx="31">
                  <c:v>51995.309717733559</c:v>
                </c:pt>
                <c:pt idx="32">
                  <c:v>-55089.598138501475</c:v>
                </c:pt>
                <c:pt idx="33">
                  <c:v>10568.894808666311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BF9-E849-8EEC-09AA5ECB19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46329023"/>
        <c:axId val="246330735"/>
      </c:lineChart>
      <c:catAx>
        <c:axId val="2463290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L"/>
          </a:p>
        </c:txPr>
        <c:crossAx val="246330735"/>
        <c:crosses val="autoZero"/>
        <c:auto val="1"/>
        <c:lblAlgn val="ctr"/>
        <c:lblOffset val="100"/>
        <c:noMultiLvlLbl val="0"/>
      </c:catAx>
      <c:valAx>
        <c:axId val="2463307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\ &quot;PLN&quot;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L"/>
          </a:p>
        </c:txPr>
        <c:crossAx val="246329023"/>
        <c:crosses val="autoZero"/>
        <c:crossBetween val="between"/>
        <c:dispUnits>
          <c:builtInUnit val="hundredThousands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PL"/>
              </a:p>
            </c:txPr>
          </c:dispUnitsLbl>
        </c:dispUnits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/>
      </a:pPr>
      <a:endParaRPr lang="en-P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31750</xdr:colOff>
      <xdr:row>1</xdr:row>
      <xdr:rowOff>6350</xdr:rowOff>
    </xdr:from>
    <xdr:to>
      <xdr:col>19</xdr:col>
      <xdr:colOff>25400</xdr:colOff>
      <xdr:row>30</xdr:row>
      <xdr:rowOff>53340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7E10447-2909-C25B-7FB0-C78CA50A49C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2BD4B48B-7D54-7642-BC5D-2990B69FADD1}" autoFormatId="16" applyNumberFormats="0" applyBorderFormats="0" applyFontFormats="0" applyPatternFormats="0" applyAlignmentFormats="0" applyWidthHeightFormats="0">
  <queryTableRefresh nextId="7" unboundColumnsRight="2">
    <queryTableFields count="6">
      <queryTableField id="1" name="Column10" tableColumnId="1"/>
      <queryTableField id="4" dataBound="0" tableColumnId="4"/>
      <queryTableField id="3" dataBound="0" tableColumnId="3"/>
      <queryTableField id="2" name="Column32" tableColumnId="2"/>
      <queryTableField id="5" dataBound="0" tableColumnId="5"/>
      <queryTableField id="6" dataBound="0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C35723-2338-5E4B-A4C9-55EF6B00871C}" name="Poland_GVA" displayName="Poland_GVA" ref="A1:F123" tableType="queryTable" totalsRowShown="0">
  <autoFilter ref="A1:F123" xr:uid="{1FC35723-2338-5E4B-A4C9-55EF6B00871C}"/>
  <tableColumns count="6">
    <tableColumn id="1" xr3:uid="{575AE667-A164-CA4C-A74B-E71CAB4BD2B1}" uniqueName="1" name="TIME" queryTableFieldId="1"/>
    <tableColumn id="4" xr3:uid="{2E0488F1-F83F-4B40-94BC-017B01637012}" uniqueName="4" name="YEAR" queryTableFieldId="4" dataDxfId="8"/>
    <tableColumn id="3" xr3:uid="{4EA60DA4-CC83-7C4D-AA69-4905970F9069}" uniqueName="3" name="QUARTER" queryTableFieldId="3" dataDxfId="7"/>
    <tableColumn id="2" xr3:uid="{AD5F73D1-8187-7648-A554-F237E6CC72DB}" uniqueName="2" name="GVA" queryTableFieldId="2" dataDxfId="6"/>
    <tableColumn id="5" xr3:uid="{1AAA317D-995E-284D-8611-9B732B552875}" uniqueName="5" name="GVA_NOTREND" queryTableFieldId="5"/>
    <tableColumn id="6" xr3:uid="{29764FD9-E008-E94C-A74D-18F394E87B80}" uniqueName="6" name="GVA_NOTREND_NOSEASON" queryTableField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D03CA76-9618-DC4C-A8A9-5A823760ADF2}" name="Indicators" displayName="Indicators" ref="A1:C5" totalsRowShown="0">
  <autoFilter ref="A1:C5" xr:uid="{DD03CA76-9618-DC4C-A8A9-5A823760ADF2}"/>
  <tableColumns count="3">
    <tableColumn id="1" xr3:uid="{99948317-C0DE-0A46-A322-BF1526891625}" name="QUARTER" dataDxfId="5"/>
    <tableColumn id="2" xr3:uid="{0C45CE32-C3A2-E84B-A3DB-E5E94983D7F4}" name="RAW" dataDxfId="4">
      <calculatedColumnFormula>AVERAGEIF(Poland_GVA[QUARTER],Indicators[[#This Row],[QUARTER]],Poland_GVA[GVA_NOTREND])</calculatedColumnFormula>
    </tableColumn>
    <tableColumn id="3" xr3:uid="{2901C579-9E3D-8E47-8CBD-B92E7C44268D}" name="CLEANED" dataDxfId="3">
      <calculatedColumnFormula array="1">Indicators[[#This Row],[RAW]]-Table3[AVERAGE_RAW_INDICATORS]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471D747-2CE6-7F42-B379-6F40E896CC4E}" name="Table3" displayName="Table3" ref="A7:A8" totalsRowShown="0" headerRowDxfId="2" dataDxfId="1">
  <autoFilter ref="A7:A8" xr:uid="{B471D747-2CE6-7F42-B379-6F40E896CC4E}"/>
  <tableColumns count="1">
    <tableColumn id="1" xr3:uid="{4A9EFCBB-05BB-D944-8AB6-D10649A7C46C}" name="AVERAGE_RAW_INDICATORS" dataDxfId="0">
      <calculatedColumnFormula>AVERAGE(Indicators[RAW])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42CC08-B680-3746-A0EB-52269A8A055A}">
  <dimension ref="A1:F123"/>
  <sheetViews>
    <sheetView tabSelected="1" workbookViewId="0">
      <selection activeCell="G3" sqref="G3"/>
    </sheetView>
  </sheetViews>
  <sheetFormatPr baseColWidth="10" defaultRowHeight="16" x14ac:dyDescent="0.2"/>
  <cols>
    <col min="1" max="1" width="8.1640625" bestFit="1" customWidth="1"/>
    <col min="2" max="2" width="8" style="2" bestFit="1" customWidth="1"/>
    <col min="3" max="3" width="11.5" style="2" bestFit="1" customWidth="1"/>
    <col min="4" max="4" width="13.5" style="3" bestFit="1" customWidth="1"/>
    <col min="5" max="5" width="16.5" bestFit="1" customWidth="1"/>
    <col min="6" max="6" width="27.1640625" bestFit="1" customWidth="1"/>
  </cols>
  <sheetData>
    <row r="1" spans="1:6" x14ac:dyDescent="0.2">
      <c r="A1" t="s">
        <v>0</v>
      </c>
      <c r="B1" s="2" t="s">
        <v>124</v>
      </c>
      <c r="C1" s="2" t="s">
        <v>125</v>
      </c>
      <c r="D1" s="3" t="s">
        <v>123</v>
      </c>
      <c r="E1" t="s">
        <v>126</v>
      </c>
      <c r="F1" t="s">
        <v>130</v>
      </c>
    </row>
    <row r="2" spans="1:6" x14ac:dyDescent="0.2">
      <c r="A2" t="s">
        <v>1</v>
      </c>
      <c r="B2" s="2">
        <v>1995</v>
      </c>
      <c r="C2" s="2">
        <v>1</v>
      </c>
      <c r="D2" s="3">
        <v>248893.04044225474</v>
      </c>
    </row>
    <row r="3" spans="1:6" x14ac:dyDescent="0.2">
      <c r="A3" t="s">
        <v>2</v>
      </c>
      <c r="B3" s="2">
        <v>1995</v>
      </c>
      <c r="C3" s="2">
        <v>2</v>
      </c>
      <c r="D3" s="3">
        <v>267756.83749569143</v>
      </c>
      <c r="E3" s="3">
        <f>Poland_GVA[[#This Row],[GVA]]-D2</f>
        <v>18863.79705343669</v>
      </c>
      <c r="F3" s="3">
        <f>Poland_GVA[[#This Row],[GVA_NOTREND]]-_xlfn.XLOOKUP(Poland_GVA[[#This Row],[QUARTER]],Indicators[QUARTER],Indicators[CLEANED],0)</f>
        <v>12022.007943063796</v>
      </c>
    </row>
    <row r="4" spans="1:6" x14ac:dyDescent="0.2">
      <c r="A4" t="s">
        <v>3</v>
      </c>
      <c r="B4" s="2">
        <v>1995</v>
      </c>
      <c r="C4" s="2">
        <v>3</v>
      </c>
      <c r="D4" s="3">
        <v>285123.8248109289</v>
      </c>
      <c r="E4" s="3">
        <f>Poland_GVA[[#This Row],[GVA]]-D3</f>
        <v>17366.987315237464</v>
      </c>
      <c r="F4" s="3">
        <f>Poland_GVA[[#This Row],[GVA_NOTREND]]-_xlfn.XLOOKUP(Poland_GVA[[#This Row],[QUARTER]],Indicators[QUARTER],Indicators[CLEANED],0)</f>
        <v>10603.187951756623</v>
      </c>
    </row>
    <row r="5" spans="1:6" x14ac:dyDescent="0.2">
      <c r="A5" t="s">
        <v>4</v>
      </c>
      <c r="B5" s="2">
        <v>1995</v>
      </c>
      <c r="C5" s="2">
        <v>4</v>
      </c>
      <c r="D5" s="3">
        <v>304990.90124919784</v>
      </c>
      <c r="E5" s="3">
        <f>Poland_GVA[[#This Row],[GVA]]-D4</f>
        <v>19867.076438268938</v>
      </c>
      <c r="F5" s="3">
        <f>Poland_GVA[[#This Row],[GVA_NOTREND]]-_xlfn.XLOOKUP(Poland_GVA[[#This Row],[QUARTER]],Indicators[QUARTER],Indicators[CLEANED],0)</f>
        <v>-43844.344169479591</v>
      </c>
    </row>
    <row r="6" spans="1:6" x14ac:dyDescent="0.2">
      <c r="A6" t="s">
        <v>5</v>
      </c>
      <c r="B6" s="2">
        <f>B2+1</f>
        <v>1996</v>
      </c>
      <c r="C6" s="2">
        <f>C2</f>
        <v>1</v>
      </c>
      <c r="D6" s="3">
        <v>269500.14433325024</v>
      </c>
      <c r="E6" s="3">
        <f>Poland_GVA[[#This Row],[GVA]]-D5</f>
        <v>-35490.756915947597</v>
      </c>
      <c r="F6" s="3">
        <f>Poland_GVA[[#This Row],[GVA_NOTREND]]-_xlfn.XLOOKUP(Poland_GVA[[#This Row],[QUARTER]],Indicators[QUARTER],Indicators[CLEANED],0)</f>
        <v>41826.25216565466</v>
      </c>
    </row>
    <row r="7" spans="1:6" x14ac:dyDescent="0.2">
      <c r="A7" t="s">
        <v>6</v>
      </c>
      <c r="B7" s="2">
        <f t="shared" ref="B7:B70" si="0">B3+1</f>
        <v>1996</v>
      </c>
      <c r="C7" s="2">
        <f t="shared" ref="C7:C70" si="1">C3</f>
        <v>2</v>
      </c>
      <c r="D7" s="3">
        <v>290182.57795227185</v>
      </c>
      <c r="E7" s="3">
        <f>Poland_GVA[[#This Row],[GVA]]-D6</f>
        <v>20682.433619021613</v>
      </c>
      <c r="F7" s="3">
        <f>Poland_GVA[[#This Row],[GVA_NOTREND]]-_xlfn.XLOOKUP(Poland_GVA[[#This Row],[QUARTER]],Indicators[QUARTER],Indicators[CLEANED],0)</f>
        <v>13840.644508648718</v>
      </c>
    </row>
    <row r="8" spans="1:6" x14ac:dyDescent="0.2">
      <c r="A8" t="s">
        <v>7</v>
      </c>
      <c r="B8" s="2">
        <f t="shared" si="0"/>
        <v>1996</v>
      </c>
      <c r="C8" s="2">
        <f t="shared" si="1"/>
        <v>3</v>
      </c>
      <c r="D8" s="3">
        <v>298623.66268972104</v>
      </c>
      <c r="E8" s="3">
        <f>Poland_GVA[[#This Row],[GVA]]-D7</f>
        <v>8441.0847374491859</v>
      </c>
      <c r="F8" s="3">
        <f>Poland_GVA[[#This Row],[GVA_NOTREND]]-_xlfn.XLOOKUP(Poland_GVA[[#This Row],[QUARTER]],Indicators[QUARTER],Indicators[CLEANED],0)</f>
        <v>1677.2853739683451</v>
      </c>
    </row>
    <row r="9" spans="1:6" x14ac:dyDescent="0.2">
      <c r="A9" t="s">
        <v>8</v>
      </c>
      <c r="B9" s="2">
        <f t="shared" si="0"/>
        <v>1996</v>
      </c>
      <c r="C9" s="2">
        <f t="shared" si="1"/>
        <v>4</v>
      </c>
      <c r="D9" s="3">
        <v>309854.22602139099</v>
      </c>
      <c r="E9" s="3">
        <f>Poland_GVA[[#This Row],[GVA]]-D8</f>
        <v>11230.563331669953</v>
      </c>
      <c r="F9" s="3">
        <f>Poland_GVA[[#This Row],[GVA_NOTREND]]-_xlfn.XLOOKUP(Poland_GVA[[#This Row],[QUARTER]],Indicators[QUARTER],Indicators[CLEANED],0)</f>
        <v>-52480.857276078576</v>
      </c>
    </row>
    <row r="10" spans="1:6" x14ac:dyDescent="0.2">
      <c r="A10" t="s">
        <v>9</v>
      </c>
      <c r="B10" s="2">
        <f t="shared" si="0"/>
        <v>1997</v>
      </c>
      <c r="C10" s="2">
        <f t="shared" si="1"/>
        <v>1</v>
      </c>
      <c r="D10" s="3">
        <v>284569.17282770434</v>
      </c>
      <c r="E10" s="3">
        <f>Poland_GVA[[#This Row],[GVA]]-D9</f>
        <v>-25285.053193686646</v>
      </c>
      <c r="F10" s="3">
        <f>Poland_GVA[[#This Row],[GVA_NOTREND]]-_xlfn.XLOOKUP(Poland_GVA[[#This Row],[QUARTER]],Indicators[QUARTER],Indicators[CLEANED],0)</f>
        <v>52031.95588791561</v>
      </c>
    </row>
    <row r="11" spans="1:6" x14ac:dyDescent="0.2">
      <c r="A11" t="s">
        <v>10</v>
      </c>
      <c r="B11" s="2">
        <f t="shared" si="0"/>
        <v>1997</v>
      </c>
      <c r="C11" s="2">
        <f t="shared" si="1"/>
        <v>2</v>
      </c>
      <c r="D11" s="3">
        <v>301831.87806393061</v>
      </c>
      <c r="E11" s="3">
        <f>Poland_GVA[[#This Row],[GVA]]-D10</f>
        <v>17262.705236226262</v>
      </c>
      <c r="F11" s="3">
        <f>Poland_GVA[[#This Row],[GVA_NOTREND]]-_xlfn.XLOOKUP(Poland_GVA[[#This Row],[QUARTER]],Indicators[QUARTER],Indicators[CLEANED],0)</f>
        <v>10420.916125853368</v>
      </c>
    </row>
    <row r="12" spans="1:6" x14ac:dyDescent="0.2">
      <c r="A12" t="s">
        <v>11</v>
      </c>
      <c r="B12" s="2">
        <f t="shared" si="0"/>
        <v>1997</v>
      </c>
      <c r="C12" s="2">
        <f t="shared" si="1"/>
        <v>3</v>
      </c>
      <c r="D12" s="3">
        <v>305836.41712889337</v>
      </c>
      <c r="E12" s="3">
        <f>Poland_GVA[[#This Row],[GVA]]-D11</f>
        <v>4004.5390649627661</v>
      </c>
      <c r="F12" s="3">
        <f>Poland_GVA[[#This Row],[GVA_NOTREND]]-_xlfn.XLOOKUP(Poland_GVA[[#This Row],[QUARTER]],Indicators[QUARTER],Indicators[CLEANED],0)</f>
        <v>-2759.2602985180747</v>
      </c>
    </row>
    <row r="13" spans="1:6" x14ac:dyDescent="0.2">
      <c r="A13" t="s">
        <v>12</v>
      </c>
      <c r="B13" s="2">
        <f t="shared" si="0"/>
        <v>1997</v>
      </c>
      <c r="C13" s="2">
        <f t="shared" si="1"/>
        <v>4</v>
      </c>
      <c r="D13" s="3">
        <v>342577.62072234263</v>
      </c>
      <c r="E13" s="3">
        <f>Poland_GVA[[#This Row],[GVA]]-D12</f>
        <v>36741.20359344926</v>
      </c>
      <c r="F13" s="3">
        <f>Poland_GVA[[#This Row],[GVA_NOTREND]]-_xlfn.XLOOKUP(Poland_GVA[[#This Row],[QUARTER]],Indicators[QUARTER],Indicators[CLEANED],0)</f>
        <v>-26970.217014299269</v>
      </c>
    </row>
    <row r="14" spans="1:6" x14ac:dyDescent="0.2">
      <c r="A14" t="s">
        <v>13</v>
      </c>
      <c r="B14" s="2">
        <f t="shared" si="0"/>
        <v>1998</v>
      </c>
      <c r="C14" s="2">
        <f t="shared" si="1"/>
        <v>1</v>
      </c>
      <c r="D14" s="3">
        <v>300350.88488784363</v>
      </c>
      <c r="E14" s="3">
        <f>Poland_GVA[[#This Row],[GVA]]-D13</f>
        <v>-42226.735834499006</v>
      </c>
      <c r="F14" s="3">
        <f>Poland_GVA[[#This Row],[GVA_NOTREND]]-_xlfn.XLOOKUP(Poland_GVA[[#This Row],[QUARTER]],Indicators[QUARTER],Indicators[CLEANED],0)</f>
        <v>35090.27324710325</v>
      </c>
    </row>
    <row r="15" spans="1:6" x14ac:dyDescent="0.2">
      <c r="A15" t="s">
        <v>14</v>
      </c>
      <c r="B15" s="2">
        <f t="shared" si="0"/>
        <v>1998</v>
      </c>
      <c r="C15" s="2">
        <f t="shared" si="1"/>
        <v>2</v>
      </c>
      <c r="D15" s="3">
        <v>311991.47248647449</v>
      </c>
      <c r="E15" s="3">
        <f>Poland_GVA[[#This Row],[GVA]]-D14</f>
        <v>11640.587598630867</v>
      </c>
      <c r="F15" s="3">
        <f>Poland_GVA[[#This Row],[GVA_NOTREND]]-_xlfn.XLOOKUP(Poland_GVA[[#This Row],[QUARTER]],Indicators[QUARTER],Indicators[CLEANED],0)</f>
        <v>4798.7984882579731</v>
      </c>
    </row>
    <row r="16" spans="1:6" x14ac:dyDescent="0.2">
      <c r="A16" t="s">
        <v>15</v>
      </c>
      <c r="B16" s="2">
        <f t="shared" si="0"/>
        <v>1998</v>
      </c>
      <c r="C16" s="2">
        <f t="shared" si="1"/>
        <v>3</v>
      </c>
      <c r="D16" s="3">
        <v>318955.85328501975</v>
      </c>
      <c r="E16" s="3">
        <f>Poland_GVA[[#This Row],[GVA]]-D15</f>
        <v>6964.3807985452586</v>
      </c>
      <c r="F16" s="3">
        <f>Poland_GVA[[#This Row],[GVA_NOTREND]]-_xlfn.XLOOKUP(Poland_GVA[[#This Row],[QUARTER]],Indicators[QUARTER],Indicators[CLEANED],0)</f>
        <v>200.58143506441775</v>
      </c>
    </row>
    <row r="17" spans="1:6" x14ac:dyDescent="0.2">
      <c r="A17" t="s">
        <v>16</v>
      </c>
      <c r="B17" s="2">
        <f t="shared" si="0"/>
        <v>1998</v>
      </c>
      <c r="C17" s="2">
        <f t="shared" si="1"/>
        <v>4</v>
      </c>
      <c r="D17" s="3">
        <v>358329.17408353905</v>
      </c>
      <c r="E17" s="3">
        <f>Poland_GVA[[#This Row],[GVA]]-D16</f>
        <v>39373.3207985193</v>
      </c>
      <c r="F17" s="3">
        <f>Poland_GVA[[#This Row],[GVA_NOTREND]]-_xlfn.XLOOKUP(Poland_GVA[[#This Row],[QUARTER]],Indicators[QUARTER],Indicators[CLEANED],0)</f>
        <v>-24338.099809229228</v>
      </c>
    </row>
    <row r="18" spans="1:6" x14ac:dyDescent="0.2">
      <c r="A18" t="s">
        <v>17</v>
      </c>
      <c r="B18" s="2">
        <f t="shared" si="0"/>
        <v>1999</v>
      </c>
      <c r="C18" s="2">
        <f t="shared" si="1"/>
        <v>1</v>
      </c>
      <c r="D18" s="3">
        <v>304937.68790039641</v>
      </c>
      <c r="E18" s="3">
        <f>Poland_GVA[[#This Row],[GVA]]-D17</f>
        <v>-53391.486183142639</v>
      </c>
      <c r="F18" s="3">
        <f>Poland_GVA[[#This Row],[GVA_NOTREND]]-_xlfn.XLOOKUP(Poland_GVA[[#This Row],[QUARTER]],Indicators[QUARTER],Indicators[CLEANED],0)</f>
        <v>23925.522898459618</v>
      </c>
    </row>
    <row r="19" spans="1:6" x14ac:dyDescent="0.2">
      <c r="A19" t="s">
        <v>18</v>
      </c>
      <c r="B19" s="2">
        <f t="shared" si="0"/>
        <v>1999</v>
      </c>
      <c r="C19" s="2">
        <f t="shared" si="1"/>
        <v>2</v>
      </c>
      <c r="D19" s="3">
        <v>322570.33984365495</v>
      </c>
      <c r="E19" s="3">
        <f>Poland_GVA[[#This Row],[GVA]]-D18</f>
        <v>17632.651943258534</v>
      </c>
      <c r="F19" s="3">
        <f>Poland_GVA[[#This Row],[GVA_NOTREND]]-_xlfn.XLOOKUP(Poland_GVA[[#This Row],[QUARTER]],Indicators[QUARTER],Indicators[CLEANED],0)</f>
        <v>10790.862832885639</v>
      </c>
    </row>
    <row r="20" spans="1:6" x14ac:dyDescent="0.2">
      <c r="A20" t="s">
        <v>19</v>
      </c>
      <c r="B20" s="2">
        <f t="shared" si="0"/>
        <v>1999</v>
      </c>
      <c r="C20" s="2">
        <f t="shared" si="1"/>
        <v>3</v>
      </c>
      <c r="D20" s="3">
        <v>334817.18431036809</v>
      </c>
      <c r="E20" s="3">
        <f>Poland_GVA[[#This Row],[GVA]]-D19</f>
        <v>12246.844466713141</v>
      </c>
      <c r="F20" s="3">
        <f>Poland_GVA[[#This Row],[GVA_NOTREND]]-_xlfn.XLOOKUP(Poland_GVA[[#This Row],[QUARTER]],Indicators[QUARTER],Indicators[CLEANED],0)</f>
        <v>5483.0451032322999</v>
      </c>
    </row>
    <row r="21" spans="1:6" x14ac:dyDescent="0.2">
      <c r="A21" t="s">
        <v>20</v>
      </c>
      <c r="B21" s="2">
        <f t="shared" si="0"/>
        <v>1999</v>
      </c>
      <c r="C21" s="2">
        <f t="shared" si="1"/>
        <v>4</v>
      </c>
      <c r="D21" s="3">
        <v>384797.25250775728</v>
      </c>
      <c r="E21" s="3">
        <f>Poland_GVA[[#This Row],[GVA]]-D20</f>
        <v>49980.068197389191</v>
      </c>
      <c r="F21" s="3">
        <f>Poland_GVA[[#This Row],[GVA_NOTREND]]-_xlfn.XLOOKUP(Poland_GVA[[#This Row],[QUARTER]],Indicators[QUARTER],Indicators[CLEANED],0)</f>
        <v>-13731.352410359337</v>
      </c>
    </row>
    <row r="22" spans="1:6" x14ac:dyDescent="0.2">
      <c r="A22" t="s">
        <v>21</v>
      </c>
      <c r="B22" s="2">
        <f t="shared" si="0"/>
        <v>2000</v>
      </c>
      <c r="C22" s="2">
        <f t="shared" si="1"/>
        <v>1</v>
      </c>
      <c r="D22" s="3">
        <v>323135.17876518908</v>
      </c>
      <c r="E22" s="3">
        <f>Poland_GVA[[#This Row],[GVA]]-D21</f>
        <v>-61662.073742568202</v>
      </c>
      <c r="F22" s="3">
        <f>Poland_GVA[[#This Row],[GVA_NOTREND]]-_xlfn.XLOOKUP(Poland_GVA[[#This Row],[QUARTER]],Indicators[QUARTER],Indicators[CLEANED],0)</f>
        <v>15654.935339034055</v>
      </c>
    </row>
    <row r="23" spans="1:6" x14ac:dyDescent="0.2">
      <c r="A23" t="s">
        <v>22</v>
      </c>
      <c r="B23" s="2">
        <f t="shared" si="0"/>
        <v>2000</v>
      </c>
      <c r="C23" s="2">
        <f t="shared" si="1"/>
        <v>2</v>
      </c>
      <c r="D23" s="3">
        <v>341265.24818301172</v>
      </c>
      <c r="E23" s="3">
        <f>Poland_GVA[[#This Row],[GVA]]-D22</f>
        <v>18130.06941782264</v>
      </c>
      <c r="F23" s="3">
        <f>Poland_GVA[[#This Row],[GVA_NOTREND]]-_xlfn.XLOOKUP(Poland_GVA[[#This Row],[QUARTER]],Indicators[QUARTER],Indicators[CLEANED],0)</f>
        <v>11288.280307449746</v>
      </c>
    </row>
    <row r="24" spans="1:6" x14ac:dyDescent="0.2">
      <c r="A24" t="s">
        <v>23</v>
      </c>
      <c r="B24" s="2">
        <f t="shared" si="0"/>
        <v>2000</v>
      </c>
      <c r="C24" s="2">
        <f t="shared" si="1"/>
        <v>3</v>
      </c>
      <c r="D24" s="3">
        <v>342537.94527840003</v>
      </c>
      <c r="E24" s="3">
        <f>Poland_GVA[[#This Row],[GVA]]-D23</f>
        <v>1272.6970953883138</v>
      </c>
      <c r="F24" s="3">
        <f>Poland_GVA[[#This Row],[GVA_NOTREND]]-_xlfn.XLOOKUP(Poland_GVA[[#This Row],[QUARTER]],Indicators[QUARTER],Indicators[CLEANED],0)</f>
        <v>-5491.1022680925271</v>
      </c>
    </row>
    <row r="25" spans="1:6" x14ac:dyDescent="0.2">
      <c r="A25" t="s">
        <v>24</v>
      </c>
      <c r="B25" s="2">
        <f t="shared" si="0"/>
        <v>2000</v>
      </c>
      <c r="C25" s="2">
        <f t="shared" si="1"/>
        <v>4</v>
      </c>
      <c r="D25" s="3">
        <v>399716.02366214507</v>
      </c>
      <c r="E25" s="3">
        <f>Poland_GVA[[#This Row],[GVA]]-D24</f>
        <v>57178.078383745044</v>
      </c>
      <c r="F25" s="3">
        <f>Poland_GVA[[#This Row],[GVA_NOTREND]]-_xlfn.XLOOKUP(Poland_GVA[[#This Row],[QUARTER]],Indicators[QUARTER],Indicators[CLEANED],0)</f>
        <v>-6533.3422240034852</v>
      </c>
    </row>
    <row r="26" spans="1:6" x14ac:dyDescent="0.2">
      <c r="A26" t="s">
        <v>25</v>
      </c>
      <c r="B26" s="2">
        <f t="shared" si="0"/>
        <v>2001</v>
      </c>
      <c r="C26" s="2">
        <f t="shared" si="1"/>
        <v>1</v>
      </c>
      <c r="D26" s="3">
        <v>333695.95090300386</v>
      </c>
      <c r="E26" s="3">
        <f>Poland_GVA[[#This Row],[GVA]]-D25</f>
        <v>-66020.072759141214</v>
      </c>
      <c r="F26" s="3">
        <f>Poland_GVA[[#This Row],[GVA_NOTREND]]-_xlfn.XLOOKUP(Poland_GVA[[#This Row],[QUARTER]],Indicators[QUARTER],Indicators[CLEANED],0)</f>
        <v>11296.936322461042</v>
      </c>
    </row>
    <row r="27" spans="1:6" x14ac:dyDescent="0.2">
      <c r="A27" t="s">
        <v>26</v>
      </c>
      <c r="B27" s="2">
        <f t="shared" si="0"/>
        <v>2001</v>
      </c>
      <c r="C27" s="2">
        <f t="shared" si="1"/>
        <v>2</v>
      </c>
      <c r="D27" s="3">
        <v>343063.64491063938</v>
      </c>
      <c r="E27" s="3">
        <f>Poland_GVA[[#This Row],[GVA]]-D26</f>
        <v>9367.694007635524</v>
      </c>
      <c r="F27" s="3">
        <f>Poland_GVA[[#This Row],[GVA_NOTREND]]-_xlfn.XLOOKUP(Poland_GVA[[#This Row],[QUARTER]],Indicators[QUARTER],Indicators[CLEANED],0)</f>
        <v>2525.9048972626297</v>
      </c>
    </row>
    <row r="28" spans="1:6" x14ac:dyDescent="0.2">
      <c r="A28" t="s">
        <v>27</v>
      </c>
      <c r="B28" s="2">
        <f t="shared" si="0"/>
        <v>2001</v>
      </c>
      <c r="C28" s="2">
        <f t="shared" si="1"/>
        <v>3</v>
      </c>
      <c r="D28" s="3">
        <v>350175.06612136372</v>
      </c>
      <c r="E28" s="3">
        <f>Poland_GVA[[#This Row],[GVA]]-D27</f>
        <v>7111.4212107243366</v>
      </c>
      <c r="F28" s="3">
        <f>Poland_GVA[[#This Row],[GVA_NOTREND]]-_xlfn.XLOOKUP(Poland_GVA[[#This Row],[QUARTER]],Indicators[QUARTER],Indicators[CLEANED],0)</f>
        <v>347.62184724349572</v>
      </c>
    </row>
    <row r="29" spans="1:6" x14ac:dyDescent="0.2">
      <c r="A29" t="s">
        <v>28</v>
      </c>
      <c r="B29" s="2">
        <f t="shared" si="0"/>
        <v>2001</v>
      </c>
      <c r="C29" s="2">
        <f t="shared" si="1"/>
        <v>4</v>
      </c>
      <c r="D29" s="3">
        <v>398439.57348422159</v>
      </c>
      <c r="E29" s="3">
        <f>Poland_GVA[[#This Row],[GVA]]-D28</f>
        <v>48264.507362857868</v>
      </c>
      <c r="F29" s="3">
        <f>Poland_GVA[[#This Row],[GVA_NOTREND]]-_xlfn.XLOOKUP(Poland_GVA[[#This Row],[QUARTER]],Indicators[QUARTER],Indicators[CLEANED],0)</f>
        <v>-15446.91324489066</v>
      </c>
    </row>
    <row r="30" spans="1:6" x14ac:dyDescent="0.2">
      <c r="A30" t="s">
        <v>29</v>
      </c>
      <c r="B30" s="2">
        <f t="shared" si="0"/>
        <v>2002</v>
      </c>
      <c r="C30" s="2">
        <f t="shared" si="1"/>
        <v>1</v>
      </c>
      <c r="D30" s="3">
        <v>339310.9644915149</v>
      </c>
      <c r="E30" s="3">
        <f>Poland_GVA[[#This Row],[GVA]]-D29</f>
        <v>-59128.608992706693</v>
      </c>
      <c r="F30" s="3">
        <f>Poland_GVA[[#This Row],[GVA_NOTREND]]-_xlfn.XLOOKUP(Poland_GVA[[#This Row],[QUARTER]],Indicators[QUARTER],Indicators[CLEANED],0)</f>
        <v>18188.400088895563</v>
      </c>
    </row>
    <row r="31" spans="1:6" x14ac:dyDescent="0.2">
      <c r="A31" t="s">
        <v>30</v>
      </c>
      <c r="B31" s="2">
        <f t="shared" si="0"/>
        <v>2002</v>
      </c>
      <c r="C31" s="2">
        <f t="shared" si="1"/>
        <v>2</v>
      </c>
      <c r="D31" s="3">
        <v>351135.05101838027</v>
      </c>
      <c r="E31" s="3">
        <f>Poland_GVA[[#This Row],[GVA]]-D30</f>
        <v>11824.086526865372</v>
      </c>
      <c r="F31" s="3">
        <f>Poland_GVA[[#This Row],[GVA_NOTREND]]-_xlfn.XLOOKUP(Poland_GVA[[#This Row],[QUARTER]],Indicators[QUARTER],Indicators[CLEANED],0)</f>
        <v>4982.2974164924781</v>
      </c>
    </row>
    <row r="32" spans="1:6" x14ac:dyDescent="0.2">
      <c r="A32" t="s">
        <v>31</v>
      </c>
      <c r="B32" s="2">
        <f t="shared" si="0"/>
        <v>2002</v>
      </c>
      <c r="C32" s="2">
        <f t="shared" si="1"/>
        <v>3</v>
      </c>
      <c r="D32" s="3">
        <v>357977.99278918229</v>
      </c>
      <c r="E32" s="3">
        <f>Poland_GVA[[#This Row],[GVA]]-D31</f>
        <v>6842.9417708020192</v>
      </c>
      <c r="F32" s="3">
        <f>Poland_GVA[[#This Row],[GVA_NOTREND]]-_xlfn.XLOOKUP(Poland_GVA[[#This Row],[QUARTER]],Indicators[QUARTER],Indicators[CLEANED],0)</f>
        <v>79.142407321178325</v>
      </c>
    </row>
    <row r="33" spans="1:6" x14ac:dyDescent="0.2">
      <c r="A33" t="s">
        <v>32</v>
      </c>
      <c r="B33" s="2">
        <f t="shared" si="0"/>
        <v>2002</v>
      </c>
      <c r="C33" s="2">
        <f t="shared" si="1"/>
        <v>4</v>
      </c>
      <c r="D33" s="3">
        <v>402835.77351945557</v>
      </c>
      <c r="E33" s="3">
        <f>Poland_GVA[[#This Row],[GVA]]-D32</f>
        <v>44857.780730273284</v>
      </c>
      <c r="F33" s="3">
        <f>Poland_GVA[[#This Row],[GVA_NOTREND]]-_xlfn.XLOOKUP(Poland_GVA[[#This Row],[QUARTER]],Indicators[QUARTER],Indicators[CLEANED],0)</f>
        <v>-18853.639877475245</v>
      </c>
    </row>
    <row r="34" spans="1:6" x14ac:dyDescent="0.2">
      <c r="A34" t="s">
        <v>33</v>
      </c>
      <c r="B34" s="2">
        <f t="shared" si="0"/>
        <v>2003</v>
      </c>
      <c r="C34" s="2">
        <f t="shared" si="1"/>
        <v>1</v>
      </c>
      <c r="D34" s="3">
        <v>347543.08295495564</v>
      </c>
      <c r="E34" s="3">
        <f>Poland_GVA[[#This Row],[GVA]]-D33</f>
        <v>-55292.690564499935</v>
      </c>
      <c r="F34" s="3">
        <f>Poland_GVA[[#This Row],[GVA_NOTREND]]-_xlfn.XLOOKUP(Poland_GVA[[#This Row],[QUARTER]],Indicators[QUARTER],Indicators[CLEANED],0)</f>
        <v>22024.318517102321</v>
      </c>
    </row>
    <row r="35" spans="1:6" x14ac:dyDescent="0.2">
      <c r="A35" t="s">
        <v>34</v>
      </c>
      <c r="B35" s="2">
        <f t="shared" si="0"/>
        <v>2003</v>
      </c>
      <c r="C35" s="2">
        <f t="shared" si="1"/>
        <v>2</v>
      </c>
      <c r="D35" s="3">
        <v>362111.74512428237</v>
      </c>
      <c r="E35" s="3">
        <f>Poland_GVA[[#This Row],[GVA]]-D34</f>
        <v>14568.662169326737</v>
      </c>
      <c r="F35" s="3">
        <f>Poland_GVA[[#This Row],[GVA_NOTREND]]-_xlfn.XLOOKUP(Poland_GVA[[#This Row],[QUARTER]],Indicators[QUARTER],Indicators[CLEANED],0)</f>
        <v>7726.8730589538427</v>
      </c>
    </row>
    <row r="36" spans="1:6" x14ac:dyDescent="0.2">
      <c r="A36" t="s">
        <v>35</v>
      </c>
      <c r="B36" s="2">
        <f t="shared" si="0"/>
        <v>2003</v>
      </c>
      <c r="C36" s="2">
        <f t="shared" si="1"/>
        <v>3</v>
      </c>
      <c r="D36" s="3">
        <v>372286.08379964269</v>
      </c>
      <c r="E36" s="3">
        <f>Poland_GVA[[#This Row],[GVA]]-D35</f>
        <v>10174.338675360312</v>
      </c>
      <c r="F36" s="3">
        <f>Poland_GVA[[#This Row],[GVA_NOTREND]]-_xlfn.XLOOKUP(Poland_GVA[[#This Row],[QUARTER]],Indicators[QUARTER],Indicators[CLEANED],0)</f>
        <v>3410.5393118794709</v>
      </c>
    </row>
    <row r="37" spans="1:6" x14ac:dyDescent="0.2">
      <c r="A37" t="s">
        <v>36</v>
      </c>
      <c r="B37" s="2">
        <f t="shared" si="0"/>
        <v>2003</v>
      </c>
      <c r="C37" s="2">
        <f t="shared" si="1"/>
        <v>4</v>
      </c>
      <c r="D37" s="3">
        <v>417828.93613123568</v>
      </c>
      <c r="E37" s="3">
        <f>Poland_GVA[[#This Row],[GVA]]-D36</f>
        <v>45542.852331592992</v>
      </c>
      <c r="F37" s="3">
        <f>Poland_GVA[[#This Row],[GVA_NOTREND]]-_xlfn.XLOOKUP(Poland_GVA[[#This Row],[QUARTER]],Indicators[QUARTER],Indicators[CLEANED],0)</f>
        <v>-18168.568276155536</v>
      </c>
    </row>
    <row r="38" spans="1:6" x14ac:dyDescent="0.2">
      <c r="A38" t="s">
        <v>37</v>
      </c>
      <c r="B38" s="2">
        <f t="shared" si="0"/>
        <v>2004</v>
      </c>
      <c r="C38" s="2">
        <f t="shared" si="1"/>
        <v>1</v>
      </c>
      <c r="D38" s="3">
        <v>370359.5461111734</v>
      </c>
      <c r="E38" s="3">
        <f>Poland_GVA[[#This Row],[GVA]]-D37</f>
        <v>-47469.390020062274</v>
      </c>
      <c r="F38" s="3">
        <f>Poland_GVA[[#This Row],[GVA_NOTREND]]-_xlfn.XLOOKUP(Poland_GVA[[#This Row],[QUARTER]],Indicators[QUARTER],Indicators[CLEANED],0)</f>
        <v>29847.619061539983</v>
      </c>
    </row>
    <row r="39" spans="1:6" x14ac:dyDescent="0.2">
      <c r="A39" t="s">
        <v>38</v>
      </c>
      <c r="B39" s="2">
        <f t="shared" si="0"/>
        <v>2004</v>
      </c>
      <c r="C39" s="2">
        <f t="shared" si="1"/>
        <v>2</v>
      </c>
      <c r="D39" s="3">
        <v>385887.65702286881</v>
      </c>
      <c r="E39" s="3">
        <f>Poland_GVA[[#This Row],[GVA]]-D38</f>
        <v>15528.110911695403</v>
      </c>
      <c r="F39" s="3">
        <f>Poland_GVA[[#This Row],[GVA_NOTREND]]-_xlfn.XLOOKUP(Poland_GVA[[#This Row],[QUARTER]],Indicators[QUARTER],Indicators[CLEANED],0)</f>
        <v>8686.3218013225087</v>
      </c>
    </row>
    <row r="40" spans="1:6" x14ac:dyDescent="0.2">
      <c r="A40" t="s">
        <v>39</v>
      </c>
      <c r="B40" s="2">
        <f t="shared" si="0"/>
        <v>2004</v>
      </c>
      <c r="C40" s="2">
        <f t="shared" si="1"/>
        <v>3</v>
      </c>
      <c r="D40" s="3">
        <v>385166.12690549385</v>
      </c>
      <c r="E40" s="3">
        <f>Poland_GVA[[#This Row],[GVA]]-D39</f>
        <v>-721.53011737496126</v>
      </c>
      <c r="F40" s="3">
        <f>Poland_GVA[[#This Row],[GVA_NOTREND]]-_xlfn.XLOOKUP(Poland_GVA[[#This Row],[QUARTER]],Indicators[QUARTER],Indicators[CLEANED],0)</f>
        <v>-7485.3294808558021</v>
      </c>
    </row>
    <row r="41" spans="1:6" x14ac:dyDescent="0.2">
      <c r="A41" t="s">
        <v>40</v>
      </c>
      <c r="B41" s="2">
        <f t="shared" si="0"/>
        <v>2004</v>
      </c>
      <c r="C41" s="2">
        <f t="shared" si="1"/>
        <v>4</v>
      </c>
      <c r="D41" s="3">
        <v>439691.98228487361</v>
      </c>
      <c r="E41" s="3">
        <f>Poland_GVA[[#This Row],[GVA]]-D40</f>
        <v>54525.855379379762</v>
      </c>
      <c r="F41" s="3">
        <f>Poland_GVA[[#This Row],[GVA_NOTREND]]-_xlfn.XLOOKUP(Poland_GVA[[#This Row],[QUARTER]],Indicators[QUARTER],Indicators[CLEANED],0)</f>
        <v>-9185.5652283687668</v>
      </c>
    </row>
    <row r="42" spans="1:6" x14ac:dyDescent="0.2">
      <c r="A42" t="s">
        <v>41</v>
      </c>
      <c r="B42" s="2">
        <f t="shared" si="0"/>
        <v>2005</v>
      </c>
      <c r="C42" s="2">
        <f t="shared" si="1"/>
        <v>1</v>
      </c>
      <c r="D42" s="3">
        <v>377815.84879914211</v>
      </c>
      <c r="E42" s="3">
        <f>Poland_GVA[[#This Row],[GVA]]-D41</f>
        <v>-61876.133485731494</v>
      </c>
      <c r="F42" s="3">
        <f>Poland_GVA[[#This Row],[GVA_NOTREND]]-_xlfn.XLOOKUP(Poland_GVA[[#This Row],[QUARTER]],Indicators[QUARTER],Indicators[CLEANED],0)</f>
        <v>15440.875595870762</v>
      </c>
    </row>
    <row r="43" spans="1:6" x14ac:dyDescent="0.2">
      <c r="A43" t="s">
        <v>42</v>
      </c>
      <c r="B43" s="2">
        <f t="shared" si="0"/>
        <v>2005</v>
      </c>
      <c r="C43" s="2">
        <f t="shared" si="1"/>
        <v>2</v>
      </c>
      <c r="D43" s="3">
        <v>402180.72657841694</v>
      </c>
      <c r="E43" s="3">
        <f>Poland_GVA[[#This Row],[GVA]]-D42</f>
        <v>24364.87777927483</v>
      </c>
      <c r="F43" s="3">
        <f>Poland_GVA[[#This Row],[GVA_NOTREND]]-_xlfn.XLOOKUP(Poland_GVA[[#This Row],[QUARTER]],Indicators[QUARTER],Indicators[CLEANED],0)</f>
        <v>17523.088668901935</v>
      </c>
    </row>
    <row r="44" spans="1:6" x14ac:dyDescent="0.2">
      <c r="A44" t="s">
        <v>43</v>
      </c>
      <c r="B44" s="2">
        <f t="shared" si="0"/>
        <v>2005</v>
      </c>
      <c r="C44" s="2">
        <f t="shared" si="1"/>
        <v>3</v>
      </c>
      <c r="D44" s="3">
        <v>397432.54101685446</v>
      </c>
      <c r="E44" s="3">
        <f>Poland_GVA[[#This Row],[GVA]]-D43</f>
        <v>-4748.1855615624809</v>
      </c>
      <c r="F44" s="3">
        <f>Poland_GVA[[#This Row],[GVA_NOTREND]]-_xlfn.XLOOKUP(Poland_GVA[[#This Row],[QUARTER]],Indicators[QUARTER],Indicators[CLEANED],0)</f>
        <v>-11511.984925043322</v>
      </c>
    </row>
    <row r="45" spans="1:6" x14ac:dyDescent="0.2">
      <c r="A45" t="s">
        <v>44</v>
      </c>
      <c r="B45" s="2">
        <f t="shared" si="0"/>
        <v>2005</v>
      </c>
      <c r="C45" s="2">
        <f t="shared" si="1"/>
        <v>4</v>
      </c>
      <c r="D45" s="3">
        <v>452950.95268810878</v>
      </c>
      <c r="E45" s="3">
        <f>Poland_GVA[[#This Row],[GVA]]-D44</f>
        <v>55518.411671254318</v>
      </c>
      <c r="F45" s="3">
        <f>Poland_GVA[[#This Row],[GVA_NOTREND]]-_xlfn.XLOOKUP(Poland_GVA[[#This Row],[QUARTER]],Indicators[QUARTER],Indicators[CLEANED],0)</f>
        <v>-8193.0089364942105</v>
      </c>
    </row>
    <row r="46" spans="1:6" x14ac:dyDescent="0.2">
      <c r="A46" t="s">
        <v>45</v>
      </c>
      <c r="B46" s="2">
        <f t="shared" si="0"/>
        <v>2006</v>
      </c>
      <c r="C46" s="2">
        <f t="shared" si="1"/>
        <v>1</v>
      </c>
      <c r="D46" s="3">
        <v>408935.73898696777</v>
      </c>
      <c r="E46" s="3">
        <f>Poland_GVA[[#This Row],[GVA]]-D45</f>
        <v>-44015.213701141009</v>
      </c>
      <c r="F46" s="3">
        <f>Poland_GVA[[#This Row],[GVA_NOTREND]]-_xlfn.XLOOKUP(Poland_GVA[[#This Row],[QUARTER]],Indicators[QUARTER],Indicators[CLEANED],0)</f>
        <v>33301.795380461248</v>
      </c>
    </row>
    <row r="47" spans="1:6" x14ac:dyDescent="0.2">
      <c r="A47" t="s">
        <v>46</v>
      </c>
      <c r="B47" s="2">
        <f t="shared" si="0"/>
        <v>2006</v>
      </c>
      <c r="C47" s="2">
        <f t="shared" si="1"/>
        <v>2</v>
      </c>
      <c r="D47" s="3">
        <v>423138.60964778322</v>
      </c>
      <c r="E47" s="3">
        <f>Poland_GVA[[#This Row],[GVA]]-D46</f>
        <v>14202.870660815446</v>
      </c>
      <c r="F47" s="3">
        <f>Poland_GVA[[#This Row],[GVA_NOTREND]]-_xlfn.XLOOKUP(Poland_GVA[[#This Row],[QUARTER]],Indicators[QUARTER],Indicators[CLEANED],0)</f>
        <v>7361.0815504425518</v>
      </c>
    </row>
    <row r="48" spans="1:6" x14ac:dyDescent="0.2">
      <c r="A48" t="s">
        <v>47</v>
      </c>
      <c r="B48" s="2">
        <f t="shared" si="0"/>
        <v>2006</v>
      </c>
      <c r="C48" s="2">
        <f t="shared" si="1"/>
        <v>3</v>
      </c>
      <c r="D48" s="3">
        <v>426986.45751690521</v>
      </c>
      <c r="E48" s="3">
        <f>Poland_GVA[[#This Row],[GVA]]-D47</f>
        <v>3847.8478691219934</v>
      </c>
      <c r="F48" s="3">
        <f>Poland_GVA[[#This Row],[GVA_NOTREND]]-_xlfn.XLOOKUP(Poland_GVA[[#This Row],[QUARTER]],Indicators[QUARTER],Indicators[CLEANED],0)</f>
        <v>-2915.9514943588474</v>
      </c>
    </row>
    <row r="49" spans="1:6" x14ac:dyDescent="0.2">
      <c r="A49" t="s">
        <v>48</v>
      </c>
      <c r="B49" s="2">
        <f t="shared" si="0"/>
        <v>2006</v>
      </c>
      <c r="C49" s="2">
        <f t="shared" si="1"/>
        <v>4</v>
      </c>
      <c r="D49" s="3">
        <v>472055.34913977853</v>
      </c>
      <c r="E49" s="3">
        <f>Poland_GVA[[#This Row],[GVA]]-D48</f>
        <v>45068.891622873314</v>
      </c>
      <c r="F49" s="3">
        <f>Poland_GVA[[#This Row],[GVA_NOTREND]]-_xlfn.XLOOKUP(Poland_GVA[[#This Row],[QUARTER]],Indicators[QUARTER],Indicators[CLEANED],0)</f>
        <v>-18642.528984875215</v>
      </c>
    </row>
    <row r="50" spans="1:6" x14ac:dyDescent="0.2">
      <c r="A50" t="s">
        <v>49</v>
      </c>
      <c r="B50" s="2">
        <f t="shared" si="0"/>
        <v>2007</v>
      </c>
      <c r="C50" s="2">
        <f t="shared" si="1"/>
        <v>1</v>
      </c>
      <c r="D50" s="3">
        <v>439726.29618233745</v>
      </c>
      <c r="E50" s="3">
        <f>Poland_GVA[[#This Row],[GVA]]-D49</f>
        <v>-32329.052957441076</v>
      </c>
      <c r="F50" s="3">
        <f>Poland_GVA[[#This Row],[GVA_NOTREND]]-_xlfn.XLOOKUP(Poland_GVA[[#This Row],[QUARTER]],Indicators[QUARTER],Indicators[CLEANED],0)</f>
        <v>44987.956124161181</v>
      </c>
    </row>
    <row r="51" spans="1:6" x14ac:dyDescent="0.2">
      <c r="A51" t="s">
        <v>50</v>
      </c>
      <c r="B51" s="2">
        <f t="shared" si="0"/>
        <v>2007</v>
      </c>
      <c r="C51" s="2">
        <f t="shared" si="1"/>
        <v>2</v>
      </c>
      <c r="D51" s="3">
        <v>446192.85739033268</v>
      </c>
      <c r="E51" s="3">
        <f>Poland_GVA[[#This Row],[GVA]]-D50</f>
        <v>6466.5612079952261</v>
      </c>
      <c r="F51" s="3">
        <f>Poland_GVA[[#This Row],[GVA_NOTREND]]-_xlfn.XLOOKUP(Poland_GVA[[#This Row],[QUARTER]],Indicators[QUARTER],Indicators[CLEANED],0)</f>
        <v>-375.22790237766822</v>
      </c>
    </row>
    <row r="52" spans="1:6" x14ac:dyDescent="0.2">
      <c r="A52" t="s">
        <v>51</v>
      </c>
      <c r="B52" s="2">
        <f t="shared" si="0"/>
        <v>2007</v>
      </c>
      <c r="C52" s="2">
        <f t="shared" si="1"/>
        <v>3</v>
      </c>
      <c r="D52" s="3">
        <v>448380.63643097813</v>
      </c>
      <c r="E52" s="3">
        <f>Poland_GVA[[#This Row],[GVA]]-D51</f>
        <v>2187.7790406454587</v>
      </c>
      <c r="F52" s="3">
        <f>Poland_GVA[[#This Row],[GVA_NOTREND]]-_xlfn.XLOOKUP(Poland_GVA[[#This Row],[QUARTER]],Indicators[QUARTER],Indicators[CLEANED],0)</f>
        <v>-4576.0203228353821</v>
      </c>
    </row>
    <row r="53" spans="1:6" x14ac:dyDescent="0.2">
      <c r="A53" t="s">
        <v>52</v>
      </c>
      <c r="B53" s="2">
        <f t="shared" si="0"/>
        <v>2007</v>
      </c>
      <c r="C53" s="2">
        <f t="shared" si="1"/>
        <v>4</v>
      </c>
      <c r="D53" s="3">
        <v>514516.78667138377</v>
      </c>
      <c r="E53" s="3">
        <f>Poland_GVA[[#This Row],[GVA]]-D52</f>
        <v>66136.150240405637</v>
      </c>
      <c r="F53" s="3">
        <f>Poland_GVA[[#This Row],[GVA_NOTREND]]-_xlfn.XLOOKUP(Poland_GVA[[#This Row],[QUARTER]],Indicators[QUARTER],Indicators[CLEANED],0)</f>
        <v>2424.7296326571086</v>
      </c>
    </row>
    <row r="54" spans="1:6" x14ac:dyDescent="0.2">
      <c r="A54" t="s">
        <v>53</v>
      </c>
      <c r="B54" s="2">
        <f t="shared" si="0"/>
        <v>2008</v>
      </c>
      <c r="C54" s="2">
        <f t="shared" si="1"/>
        <v>1</v>
      </c>
      <c r="D54" s="3">
        <v>462230.98541081708</v>
      </c>
      <c r="E54" s="3">
        <f>Poland_GVA[[#This Row],[GVA]]-D53</f>
        <v>-52285.801260566688</v>
      </c>
      <c r="F54" s="3">
        <f>Poland_GVA[[#This Row],[GVA_NOTREND]]-_xlfn.XLOOKUP(Poland_GVA[[#This Row],[QUARTER]],Indicators[QUARTER],Indicators[CLEANED],0)</f>
        <v>25031.207821035568</v>
      </c>
    </row>
    <row r="55" spans="1:6" x14ac:dyDescent="0.2">
      <c r="A55" t="s">
        <v>54</v>
      </c>
      <c r="B55" s="2">
        <f t="shared" si="0"/>
        <v>2008</v>
      </c>
      <c r="C55" s="2">
        <f t="shared" si="1"/>
        <v>2</v>
      </c>
      <c r="D55" s="3">
        <v>469307.55656942975</v>
      </c>
      <c r="E55" s="3">
        <f>Poland_GVA[[#This Row],[GVA]]-D54</f>
        <v>7076.5711586126708</v>
      </c>
      <c r="F55" s="3">
        <f>Poland_GVA[[#This Row],[GVA_NOTREND]]-_xlfn.XLOOKUP(Poland_GVA[[#This Row],[QUARTER]],Indicators[QUARTER],Indicators[CLEANED],0)</f>
        <v>234.78204823977649</v>
      </c>
    </row>
    <row r="56" spans="1:6" x14ac:dyDescent="0.2">
      <c r="A56" t="s">
        <v>55</v>
      </c>
      <c r="B56" s="2">
        <f t="shared" si="0"/>
        <v>2008</v>
      </c>
      <c r="C56" s="2">
        <f t="shared" si="1"/>
        <v>3</v>
      </c>
      <c r="D56" s="3">
        <v>462547.71876904805</v>
      </c>
      <c r="E56" s="3">
        <f>Poland_GVA[[#This Row],[GVA]]-D55</f>
        <v>-6759.8378003817052</v>
      </c>
      <c r="F56" s="3">
        <f>Poland_GVA[[#This Row],[GVA_NOTREND]]-_xlfn.XLOOKUP(Poland_GVA[[#This Row],[QUARTER]],Indicators[QUARTER],Indicators[CLEANED],0)</f>
        <v>-13523.637163862546</v>
      </c>
    </row>
    <row r="57" spans="1:6" x14ac:dyDescent="0.2">
      <c r="A57" t="s">
        <v>56</v>
      </c>
      <c r="B57" s="2">
        <f t="shared" si="0"/>
        <v>2008</v>
      </c>
      <c r="C57" s="2">
        <f t="shared" si="1"/>
        <v>4</v>
      </c>
      <c r="D57" s="3">
        <v>531515.1676662087</v>
      </c>
      <c r="E57" s="3">
        <f>Poland_GVA[[#This Row],[GVA]]-D56</f>
        <v>68967.448897160648</v>
      </c>
      <c r="F57" s="3">
        <f>Poland_GVA[[#This Row],[GVA_NOTREND]]-_xlfn.XLOOKUP(Poland_GVA[[#This Row],[QUARTER]],Indicators[QUARTER],Indicators[CLEANED],0)</f>
        <v>5256.0282894121192</v>
      </c>
    </row>
    <row r="58" spans="1:6" x14ac:dyDescent="0.2">
      <c r="A58" t="s">
        <v>57</v>
      </c>
      <c r="B58" s="2">
        <f t="shared" si="0"/>
        <v>2009</v>
      </c>
      <c r="C58" s="2">
        <f t="shared" si="1"/>
        <v>1</v>
      </c>
      <c r="D58" s="3">
        <v>470604.11254664848</v>
      </c>
      <c r="E58" s="3">
        <f>Poland_GVA[[#This Row],[GVA]]-D57</f>
        <v>-60911.055119560217</v>
      </c>
      <c r="F58" s="3">
        <f>Poland_GVA[[#This Row],[GVA_NOTREND]]-_xlfn.XLOOKUP(Poland_GVA[[#This Row],[QUARTER]],Indicators[QUARTER],Indicators[CLEANED],0)</f>
        <v>16405.95396204204</v>
      </c>
    </row>
    <row r="59" spans="1:6" x14ac:dyDescent="0.2">
      <c r="A59" t="s">
        <v>58</v>
      </c>
      <c r="B59" s="2">
        <f t="shared" si="0"/>
        <v>2009</v>
      </c>
      <c r="C59" s="2">
        <f t="shared" si="1"/>
        <v>2</v>
      </c>
      <c r="D59" s="3">
        <v>475512.74238658702</v>
      </c>
      <c r="E59" s="3">
        <f>Poland_GVA[[#This Row],[GVA]]-D58</f>
        <v>4908.6298399385414</v>
      </c>
      <c r="F59" s="3">
        <f>Poland_GVA[[#This Row],[GVA_NOTREND]]-_xlfn.XLOOKUP(Poland_GVA[[#This Row],[QUARTER]],Indicators[QUARTER],Indicators[CLEANED],0)</f>
        <v>-1933.1592704343529</v>
      </c>
    </row>
    <row r="60" spans="1:6" x14ac:dyDescent="0.2">
      <c r="A60" t="s">
        <v>59</v>
      </c>
      <c r="B60" s="2">
        <f t="shared" si="0"/>
        <v>2009</v>
      </c>
      <c r="C60" s="2">
        <f t="shared" si="1"/>
        <v>3</v>
      </c>
      <c r="D60" s="3">
        <v>479155.10898691165</v>
      </c>
      <c r="E60" s="3">
        <f>Poland_GVA[[#This Row],[GVA]]-D59</f>
        <v>3642.3666003246326</v>
      </c>
      <c r="F60" s="3">
        <f>Poland_GVA[[#This Row],[GVA_NOTREND]]-_xlfn.XLOOKUP(Poland_GVA[[#This Row],[QUARTER]],Indicators[QUARTER],Indicators[CLEANED],0)</f>
        <v>-3121.4327631562082</v>
      </c>
    </row>
    <row r="61" spans="1:6" x14ac:dyDescent="0.2">
      <c r="A61" t="s">
        <v>60</v>
      </c>
      <c r="B61" s="2">
        <f t="shared" si="0"/>
        <v>2009</v>
      </c>
      <c r="C61" s="2">
        <f t="shared" si="1"/>
        <v>4</v>
      </c>
      <c r="D61" s="3">
        <v>555915.833768229</v>
      </c>
      <c r="E61" s="3">
        <f>Poland_GVA[[#This Row],[GVA]]-D60</f>
        <v>76760.724781317345</v>
      </c>
      <c r="F61" s="3">
        <f>Poland_GVA[[#This Row],[GVA_NOTREND]]-_xlfn.XLOOKUP(Poland_GVA[[#This Row],[QUARTER]],Indicators[QUARTER],Indicators[CLEANED],0)</f>
        <v>13049.304173568817</v>
      </c>
    </row>
    <row r="62" spans="1:6" x14ac:dyDescent="0.2">
      <c r="A62" t="s">
        <v>61</v>
      </c>
      <c r="B62" s="2">
        <f t="shared" si="0"/>
        <v>2010</v>
      </c>
      <c r="C62" s="2">
        <f t="shared" si="1"/>
        <v>1</v>
      </c>
      <c r="D62" s="3">
        <v>482514.92208780721</v>
      </c>
      <c r="E62" s="3">
        <f>Poland_GVA[[#This Row],[GVA]]-D61</f>
        <v>-73400.911680421792</v>
      </c>
      <c r="F62" s="3">
        <f>Poland_GVA[[#This Row],[GVA_NOTREND]]-_xlfn.XLOOKUP(Poland_GVA[[#This Row],[QUARTER]],Indicators[QUARTER],Indicators[CLEANED],0)</f>
        <v>3916.0974011804647</v>
      </c>
    </row>
    <row r="63" spans="1:6" x14ac:dyDescent="0.2">
      <c r="A63" t="s">
        <v>62</v>
      </c>
      <c r="B63" s="2">
        <f t="shared" si="0"/>
        <v>2010</v>
      </c>
      <c r="C63" s="2">
        <f t="shared" si="1"/>
        <v>2</v>
      </c>
      <c r="D63" s="3">
        <v>490702.94183146034</v>
      </c>
      <c r="E63" s="3">
        <f>Poland_GVA[[#This Row],[GVA]]-D62</f>
        <v>8188.0197436531307</v>
      </c>
      <c r="F63" s="3">
        <f>Poland_GVA[[#This Row],[GVA_NOTREND]]-_xlfn.XLOOKUP(Poland_GVA[[#This Row],[QUARTER]],Indicators[QUARTER],Indicators[CLEANED],0)</f>
        <v>1346.2306332802364</v>
      </c>
    </row>
    <row r="64" spans="1:6" x14ac:dyDescent="0.2">
      <c r="A64" t="s">
        <v>63</v>
      </c>
      <c r="B64" s="2">
        <f t="shared" si="0"/>
        <v>2010</v>
      </c>
      <c r="C64" s="2">
        <f t="shared" si="1"/>
        <v>3</v>
      </c>
      <c r="D64" s="3">
        <v>494439.80568847264</v>
      </c>
      <c r="E64" s="3">
        <f>Poland_GVA[[#This Row],[GVA]]-D63</f>
        <v>3736.8638570123003</v>
      </c>
      <c r="F64" s="3">
        <f>Poland_GVA[[#This Row],[GVA_NOTREND]]-_xlfn.XLOOKUP(Poland_GVA[[#This Row],[QUARTER]],Indicators[QUARTER],Indicators[CLEANED],0)</f>
        <v>-3026.9355064685406</v>
      </c>
    </row>
    <row r="65" spans="1:6" x14ac:dyDescent="0.2">
      <c r="A65" t="s">
        <v>64</v>
      </c>
      <c r="B65" s="2">
        <f t="shared" si="0"/>
        <v>2010</v>
      </c>
      <c r="C65" s="2">
        <f t="shared" si="1"/>
        <v>4</v>
      </c>
      <c r="D65" s="3">
        <v>575243.27055341378</v>
      </c>
      <c r="E65" s="3">
        <f>Poland_GVA[[#This Row],[GVA]]-D64</f>
        <v>80803.464864941139</v>
      </c>
      <c r="F65" s="3">
        <f>Poland_GVA[[#This Row],[GVA_NOTREND]]-_xlfn.XLOOKUP(Poland_GVA[[#This Row],[QUARTER]],Indicators[QUARTER],Indicators[CLEANED],0)</f>
        <v>17092.044257192611</v>
      </c>
    </row>
    <row r="66" spans="1:6" x14ac:dyDescent="0.2">
      <c r="A66" t="s">
        <v>65</v>
      </c>
      <c r="B66" s="2">
        <f t="shared" si="0"/>
        <v>2011</v>
      </c>
      <c r="C66" s="2">
        <f t="shared" si="1"/>
        <v>1</v>
      </c>
      <c r="D66" s="3">
        <v>500306.00772951223</v>
      </c>
      <c r="E66" s="3">
        <f>Poland_GVA[[#This Row],[GVA]]-D65</f>
        <v>-74937.262823901547</v>
      </c>
      <c r="F66" s="3">
        <f>Poland_GVA[[#This Row],[GVA_NOTREND]]-_xlfn.XLOOKUP(Poland_GVA[[#This Row],[QUARTER]],Indicators[QUARTER],Indicators[CLEANED],0)</f>
        <v>2379.74625770071</v>
      </c>
    </row>
    <row r="67" spans="1:6" x14ac:dyDescent="0.2">
      <c r="A67" t="s">
        <v>66</v>
      </c>
      <c r="B67" s="2">
        <f t="shared" si="0"/>
        <v>2011</v>
      </c>
      <c r="C67" s="2">
        <f t="shared" si="1"/>
        <v>2</v>
      </c>
      <c r="D67" s="3">
        <v>516816.35395611078</v>
      </c>
      <c r="E67" s="3">
        <f>Poland_GVA[[#This Row],[GVA]]-D66</f>
        <v>16510.346226598544</v>
      </c>
      <c r="F67" s="3">
        <f>Poland_GVA[[#This Row],[GVA_NOTREND]]-_xlfn.XLOOKUP(Poland_GVA[[#This Row],[QUARTER]],Indicators[QUARTER],Indicators[CLEANED],0)</f>
        <v>9668.5571162256492</v>
      </c>
    </row>
    <row r="68" spans="1:6" x14ac:dyDescent="0.2">
      <c r="A68" t="s">
        <v>67</v>
      </c>
      <c r="B68" s="2">
        <f t="shared" si="0"/>
        <v>2011</v>
      </c>
      <c r="C68" s="2">
        <f t="shared" si="1"/>
        <v>3</v>
      </c>
      <c r="D68" s="3">
        <v>526081.77646466461</v>
      </c>
      <c r="E68" s="3">
        <f>Poland_GVA[[#This Row],[GVA]]-D67</f>
        <v>9265.4225085538346</v>
      </c>
      <c r="F68" s="3">
        <f>Poland_GVA[[#This Row],[GVA_NOTREND]]-_xlfn.XLOOKUP(Poland_GVA[[#This Row],[QUARTER]],Indicators[QUARTER],Indicators[CLEANED],0)</f>
        <v>2501.6231450729938</v>
      </c>
    </row>
    <row r="69" spans="1:6" x14ac:dyDescent="0.2">
      <c r="A69" t="s">
        <v>68</v>
      </c>
      <c r="B69" s="2">
        <f t="shared" si="0"/>
        <v>2011</v>
      </c>
      <c r="C69" s="2">
        <f t="shared" si="1"/>
        <v>4</v>
      </c>
      <c r="D69" s="3">
        <v>605834.91437442275</v>
      </c>
      <c r="E69" s="3">
        <f>Poland_GVA[[#This Row],[GVA]]-D68</f>
        <v>79753.137909758138</v>
      </c>
      <c r="F69" s="3">
        <f>Poland_GVA[[#This Row],[GVA_NOTREND]]-_xlfn.XLOOKUP(Poland_GVA[[#This Row],[QUARTER]],Indicators[QUARTER],Indicators[CLEANED],0)</f>
        <v>16041.717302009609</v>
      </c>
    </row>
    <row r="70" spans="1:6" x14ac:dyDescent="0.2">
      <c r="A70" t="s">
        <v>69</v>
      </c>
      <c r="B70" s="2">
        <f t="shared" si="0"/>
        <v>2012</v>
      </c>
      <c r="C70" s="2">
        <f t="shared" si="1"/>
        <v>1</v>
      </c>
      <c r="D70" s="3">
        <v>515514.43643241347</v>
      </c>
      <c r="E70" s="3">
        <f>Poland_GVA[[#This Row],[GVA]]-D69</f>
        <v>-90320.477942009282</v>
      </c>
      <c r="F70" s="3">
        <f>Poland_GVA[[#This Row],[GVA_NOTREND]]-_xlfn.XLOOKUP(Poland_GVA[[#This Row],[QUARTER]],Indicators[QUARTER],Indicators[CLEANED],0)</f>
        <v>-13003.468860407025</v>
      </c>
    </row>
    <row r="71" spans="1:6" x14ac:dyDescent="0.2">
      <c r="A71" t="s">
        <v>70</v>
      </c>
      <c r="B71" s="2">
        <f t="shared" ref="B71:B123" si="2">B67+1</f>
        <v>2012</v>
      </c>
      <c r="C71" s="2">
        <f t="shared" ref="C71:C123" si="3">C67</f>
        <v>2</v>
      </c>
      <c r="D71" s="3">
        <v>525237.73501025082</v>
      </c>
      <c r="E71" s="3">
        <f>Poland_GVA[[#This Row],[GVA]]-D70</f>
        <v>9723.298577837355</v>
      </c>
      <c r="F71" s="3">
        <f>Poland_GVA[[#This Row],[GVA_NOTREND]]-_xlfn.XLOOKUP(Poland_GVA[[#This Row],[QUARTER]],Indicators[QUARTER],Indicators[CLEANED],0)</f>
        <v>2881.5094674644606</v>
      </c>
    </row>
    <row r="72" spans="1:6" x14ac:dyDescent="0.2">
      <c r="A72" t="s">
        <v>71</v>
      </c>
      <c r="B72" s="2">
        <f t="shared" si="2"/>
        <v>2012</v>
      </c>
      <c r="C72" s="2">
        <f t="shared" si="3"/>
        <v>3</v>
      </c>
      <c r="D72" s="3">
        <v>531886.45475986088</v>
      </c>
      <c r="E72" s="3">
        <f>Poland_GVA[[#This Row],[GVA]]-D71</f>
        <v>6648.7197496100562</v>
      </c>
      <c r="F72" s="3">
        <f>Poland_GVA[[#This Row],[GVA_NOTREND]]-_xlfn.XLOOKUP(Poland_GVA[[#This Row],[QUARTER]],Indicators[QUARTER],Indicators[CLEANED],0)</f>
        <v>-115.07961387078467</v>
      </c>
    </row>
    <row r="73" spans="1:6" x14ac:dyDescent="0.2">
      <c r="A73" t="s">
        <v>72</v>
      </c>
      <c r="B73" s="2">
        <f t="shared" si="2"/>
        <v>2012</v>
      </c>
      <c r="C73" s="2">
        <f t="shared" si="3"/>
        <v>4</v>
      </c>
      <c r="D73" s="3">
        <v>605239.91675394587</v>
      </c>
      <c r="E73" s="3">
        <f>Poland_GVA[[#This Row],[GVA]]-D72</f>
        <v>73353.461994084995</v>
      </c>
      <c r="F73" s="3">
        <f>Poland_GVA[[#This Row],[GVA_NOTREND]]-_xlfn.XLOOKUP(Poland_GVA[[#This Row],[QUARTER]],Indicators[QUARTER],Indicators[CLEANED],0)</f>
        <v>9642.0413863364665</v>
      </c>
    </row>
    <row r="74" spans="1:6" x14ac:dyDescent="0.2">
      <c r="A74" t="s">
        <v>73</v>
      </c>
      <c r="B74" s="2">
        <f t="shared" si="2"/>
        <v>2013</v>
      </c>
      <c r="C74" s="2">
        <f t="shared" si="3"/>
        <v>1</v>
      </c>
      <c r="D74" s="3">
        <v>511553.1918552664</v>
      </c>
      <c r="E74" s="3">
        <f>Poland_GVA[[#This Row],[GVA]]-D73</f>
        <v>-93686.724898679473</v>
      </c>
      <c r="F74" s="3">
        <f>Poland_GVA[[#This Row],[GVA_NOTREND]]-_xlfn.XLOOKUP(Poland_GVA[[#This Row],[QUARTER]],Indicators[QUARTER],Indicators[CLEANED],0)</f>
        <v>-16369.715817077216</v>
      </c>
    </row>
    <row r="75" spans="1:6" x14ac:dyDescent="0.2">
      <c r="A75" t="s">
        <v>74</v>
      </c>
      <c r="B75" s="2">
        <f t="shared" si="2"/>
        <v>2013</v>
      </c>
      <c r="C75" s="2">
        <f t="shared" si="3"/>
        <v>2</v>
      </c>
      <c r="D75" s="3">
        <v>530673.13679172436</v>
      </c>
      <c r="E75" s="3">
        <f>Poland_GVA[[#This Row],[GVA]]-D74</f>
        <v>19119.944936457963</v>
      </c>
      <c r="F75" s="3">
        <f>Poland_GVA[[#This Row],[GVA_NOTREND]]-_xlfn.XLOOKUP(Poland_GVA[[#This Row],[QUARTER]],Indicators[QUARTER],Indicators[CLEANED],0)</f>
        <v>12278.155826085069</v>
      </c>
    </row>
    <row r="76" spans="1:6" x14ac:dyDescent="0.2">
      <c r="A76" t="s">
        <v>75</v>
      </c>
      <c r="B76" s="2">
        <f t="shared" si="2"/>
        <v>2013</v>
      </c>
      <c r="C76" s="2">
        <f t="shared" si="3"/>
        <v>3</v>
      </c>
      <c r="D76" s="3">
        <v>537507.50008816039</v>
      </c>
      <c r="E76" s="3">
        <f>Poland_GVA[[#This Row],[GVA]]-D75</f>
        <v>6834.3632964360295</v>
      </c>
      <c r="F76" s="3">
        <f>Poland_GVA[[#This Row],[GVA_NOTREND]]-_xlfn.XLOOKUP(Poland_GVA[[#This Row],[QUARTER]],Indicators[QUARTER],Indicators[CLEANED],0)</f>
        <v>70.563932955188648</v>
      </c>
    </row>
    <row r="77" spans="1:6" x14ac:dyDescent="0.2">
      <c r="A77" t="s">
        <v>76</v>
      </c>
      <c r="B77" s="2">
        <f t="shared" si="2"/>
        <v>2013</v>
      </c>
      <c r="C77" s="2">
        <f t="shared" si="3"/>
        <v>4</v>
      </c>
      <c r="D77" s="3">
        <v>611369.10264976695</v>
      </c>
      <c r="E77" s="3">
        <f>Poland_GVA[[#This Row],[GVA]]-D76</f>
        <v>73861.60256160656</v>
      </c>
      <c r="F77" s="3">
        <f>Poland_GVA[[#This Row],[GVA_NOTREND]]-_xlfn.XLOOKUP(Poland_GVA[[#This Row],[QUARTER]],Indicators[QUARTER],Indicators[CLEANED],0)</f>
        <v>10150.181953858031</v>
      </c>
    </row>
    <row r="78" spans="1:6" x14ac:dyDescent="0.2">
      <c r="A78" t="s">
        <v>77</v>
      </c>
      <c r="B78" s="2">
        <f t="shared" si="2"/>
        <v>2014</v>
      </c>
      <c r="C78" s="2">
        <f t="shared" si="3"/>
        <v>1</v>
      </c>
      <c r="D78" s="3">
        <v>533230.72850074002</v>
      </c>
      <c r="E78" s="3">
        <f>Poland_GVA[[#This Row],[GVA]]-D77</f>
        <v>-78138.374149026931</v>
      </c>
      <c r="F78" s="3">
        <f>Poland_GVA[[#This Row],[GVA_NOTREND]]-_xlfn.XLOOKUP(Poland_GVA[[#This Row],[QUARTER]],Indicators[QUARTER],Indicators[CLEANED],0)</f>
        <v>-821.36506742467463</v>
      </c>
    </row>
    <row r="79" spans="1:6" x14ac:dyDescent="0.2">
      <c r="A79" t="s">
        <v>78</v>
      </c>
      <c r="B79" s="2">
        <f t="shared" si="2"/>
        <v>2014</v>
      </c>
      <c r="C79" s="2">
        <f t="shared" si="3"/>
        <v>2</v>
      </c>
      <c r="D79" s="3">
        <v>548610.19053631264</v>
      </c>
      <c r="E79" s="3">
        <f>Poland_GVA[[#This Row],[GVA]]-D78</f>
        <v>15379.462035572622</v>
      </c>
      <c r="F79" s="3">
        <f>Poland_GVA[[#This Row],[GVA_NOTREND]]-_xlfn.XLOOKUP(Poland_GVA[[#This Row],[QUARTER]],Indicators[QUARTER],Indicators[CLEANED],0)</f>
        <v>8537.6729251997276</v>
      </c>
    </row>
    <row r="80" spans="1:6" x14ac:dyDescent="0.2">
      <c r="A80" t="s">
        <v>79</v>
      </c>
      <c r="B80" s="2">
        <f t="shared" si="2"/>
        <v>2014</v>
      </c>
      <c r="C80" s="2">
        <f t="shared" si="3"/>
        <v>3</v>
      </c>
      <c r="D80" s="3">
        <v>557551.10544424143</v>
      </c>
      <c r="E80" s="3">
        <f>Poland_GVA[[#This Row],[GVA]]-D79</f>
        <v>8940.914907928789</v>
      </c>
      <c r="F80" s="3">
        <f>Poland_GVA[[#This Row],[GVA_NOTREND]]-_xlfn.XLOOKUP(Poland_GVA[[#This Row],[QUARTER]],Indicators[QUARTER],Indicators[CLEANED],0)</f>
        <v>2177.1155444479482</v>
      </c>
    </row>
    <row r="81" spans="1:6" x14ac:dyDescent="0.2">
      <c r="A81" t="s">
        <v>80</v>
      </c>
      <c r="B81" s="2">
        <f t="shared" si="2"/>
        <v>2014</v>
      </c>
      <c r="C81" s="2">
        <f t="shared" si="3"/>
        <v>4</v>
      </c>
      <c r="D81" s="3">
        <v>635633.58547122753</v>
      </c>
      <c r="E81" s="3">
        <f>Poland_GVA[[#This Row],[GVA]]-D80</f>
        <v>78082.480026986101</v>
      </c>
      <c r="F81" s="3">
        <f>Poland_GVA[[#This Row],[GVA_NOTREND]]-_xlfn.XLOOKUP(Poland_GVA[[#This Row],[QUARTER]],Indicators[QUARTER],Indicators[CLEANED],0)</f>
        <v>14371.059419237572</v>
      </c>
    </row>
    <row r="82" spans="1:6" x14ac:dyDescent="0.2">
      <c r="A82" t="s">
        <v>81</v>
      </c>
      <c r="B82" s="2">
        <f t="shared" si="2"/>
        <v>2015</v>
      </c>
      <c r="C82" s="2">
        <f t="shared" si="3"/>
        <v>1</v>
      </c>
      <c r="D82" s="3">
        <v>551915.18182446342</v>
      </c>
      <c r="E82" s="3">
        <f>Poland_GVA[[#This Row],[GVA]]-D81</f>
        <v>-83718.403646764113</v>
      </c>
      <c r="F82" s="3">
        <f>Poland_GVA[[#This Row],[GVA_NOTREND]]-_xlfn.XLOOKUP(Poland_GVA[[#This Row],[QUARTER]],Indicators[QUARTER],Indicators[CLEANED],0)</f>
        <v>-6401.394565161856</v>
      </c>
    </row>
    <row r="83" spans="1:6" x14ac:dyDescent="0.2">
      <c r="A83" t="s">
        <v>82</v>
      </c>
      <c r="B83" s="2">
        <f t="shared" si="2"/>
        <v>2015</v>
      </c>
      <c r="C83" s="2">
        <f t="shared" si="3"/>
        <v>2</v>
      </c>
      <c r="D83" s="3">
        <v>569926.22491045832</v>
      </c>
      <c r="E83" s="3">
        <f>Poland_GVA[[#This Row],[GVA]]-D82</f>
        <v>18011.043085994897</v>
      </c>
      <c r="F83" s="3">
        <f>Poland_GVA[[#This Row],[GVA_NOTREND]]-_xlfn.XLOOKUP(Poland_GVA[[#This Row],[QUARTER]],Indicators[QUARTER],Indicators[CLEANED],0)</f>
        <v>11169.253975622003</v>
      </c>
    </row>
    <row r="84" spans="1:6" x14ac:dyDescent="0.2">
      <c r="A84" t="s">
        <v>83</v>
      </c>
      <c r="B84" s="2">
        <f t="shared" si="2"/>
        <v>2015</v>
      </c>
      <c r="C84" s="2">
        <f t="shared" si="3"/>
        <v>3</v>
      </c>
      <c r="D84" s="3">
        <v>583745.61095938273</v>
      </c>
      <c r="E84" s="3">
        <f>Poland_GVA[[#This Row],[GVA]]-D83</f>
        <v>13819.386048924411</v>
      </c>
      <c r="F84" s="3">
        <f>Poland_GVA[[#This Row],[GVA_NOTREND]]-_xlfn.XLOOKUP(Poland_GVA[[#This Row],[QUARTER]],Indicators[QUARTER],Indicators[CLEANED],0)</f>
        <v>7055.5866854435699</v>
      </c>
    </row>
    <row r="85" spans="1:6" x14ac:dyDescent="0.2">
      <c r="A85" t="s">
        <v>84</v>
      </c>
      <c r="B85" s="2">
        <f t="shared" si="2"/>
        <v>2015</v>
      </c>
      <c r="C85" s="2">
        <f t="shared" si="3"/>
        <v>4</v>
      </c>
      <c r="D85" s="3">
        <v>673352.33302641124</v>
      </c>
      <c r="E85" s="3">
        <f>Poland_GVA[[#This Row],[GVA]]-D84</f>
        <v>89606.722067028517</v>
      </c>
      <c r="F85" s="3">
        <f>Poland_GVA[[#This Row],[GVA_NOTREND]]-_xlfn.XLOOKUP(Poland_GVA[[#This Row],[QUARTER]],Indicators[QUARTER],Indicators[CLEANED],0)</f>
        <v>25895.301459279988</v>
      </c>
    </row>
    <row r="86" spans="1:6" x14ac:dyDescent="0.2">
      <c r="A86" t="s">
        <v>85</v>
      </c>
      <c r="B86" s="2">
        <f t="shared" si="2"/>
        <v>2016</v>
      </c>
      <c r="C86" s="2">
        <f t="shared" si="3"/>
        <v>1</v>
      </c>
      <c r="D86" s="3">
        <v>567781.07016431878</v>
      </c>
      <c r="E86" s="3">
        <f>Poland_GVA[[#This Row],[GVA]]-D85</f>
        <v>-105571.26286209247</v>
      </c>
      <c r="F86" s="3">
        <f>Poland_GVA[[#This Row],[GVA_NOTREND]]-_xlfn.XLOOKUP(Poland_GVA[[#This Row],[QUARTER]],Indicators[QUARTER],Indicators[CLEANED],0)</f>
        <v>-28254.253780490209</v>
      </c>
    </row>
    <row r="87" spans="1:6" x14ac:dyDescent="0.2">
      <c r="A87" t="s">
        <v>86</v>
      </c>
      <c r="B87" s="2">
        <f t="shared" si="2"/>
        <v>2016</v>
      </c>
      <c r="C87" s="2">
        <f t="shared" si="3"/>
        <v>2</v>
      </c>
      <c r="D87" s="3">
        <v>589528.84306866385</v>
      </c>
      <c r="E87" s="3">
        <f>Poland_GVA[[#This Row],[GVA]]-D86</f>
        <v>21747.772904345067</v>
      </c>
      <c r="F87" s="3">
        <f>Poland_GVA[[#This Row],[GVA_NOTREND]]-_xlfn.XLOOKUP(Poland_GVA[[#This Row],[QUARTER]],Indicators[QUARTER],Indicators[CLEANED],0)</f>
        <v>14905.983793972173</v>
      </c>
    </row>
    <row r="88" spans="1:6" x14ac:dyDescent="0.2">
      <c r="A88" t="s">
        <v>87</v>
      </c>
      <c r="B88" s="2">
        <f t="shared" si="2"/>
        <v>2016</v>
      </c>
      <c r="C88" s="2">
        <f t="shared" si="3"/>
        <v>3</v>
      </c>
      <c r="D88" s="3">
        <v>594643.22225472354</v>
      </c>
      <c r="E88" s="3">
        <f>Poland_GVA[[#This Row],[GVA]]-D87</f>
        <v>5114.3791860596975</v>
      </c>
      <c r="F88" s="3">
        <f>Poland_GVA[[#This Row],[GVA_NOTREND]]-_xlfn.XLOOKUP(Poland_GVA[[#This Row],[QUARTER]],Indicators[QUARTER],Indicators[CLEANED],0)</f>
        <v>-1649.4201774211433</v>
      </c>
    </row>
    <row r="89" spans="1:6" x14ac:dyDescent="0.2">
      <c r="A89" t="s">
        <v>88</v>
      </c>
      <c r="B89" s="2">
        <f t="shared" si="2"/>
        <v>2016</v>
      </c>
      <c r="C89" s="2">
        <f t="shared" si="3"/>
        <v>4</v>
      </c>
      <c r="D89" s="3">
        <v>695919.886387354</v>
      </c>
      <c r="E89" s="3">
        <f>Poland_GVA[[#This Row],[GVA]]-D88</f>
        <v>101276.66413263045</v>
      </c>
      <c r="F89" s="3">
        <f>Poland_GVA[[#This Row],[GVA_NOTREND]]-_xlfn.XLOOKUP(Poland_GVA[[#This Row],[QUARTER]],Indicators[QUARTER],Indicators[CLEANED],0)</f>
        <v>37565.243524881924</v>
      </c>
    </row>
    <row r="90" spans="1:6" x14ac:dyDescent="0.2">
      <c r="A90" t="s">
        <v>89</v>
      </c>
      <c r="B90" s="2">
        <f t="shared" si="2"/>
        <v>2017</v>
      </c>
      <c r="C90" s="2">
        <f t="shared" si="3"/>
        <v>1</v>
      </c>
      <c r="D90" s="3">
        <v>604781.63856867654</v>
      </c>
      <c r="E90" s="3">
        <f>Poland_GVA[[#This Row],[GVA]]-D89</f>
        <v>-91138.247818677453</v>
      </c>
      <c r="F90" s="3">
        <f>Poland_GVA[[#This Row],[GVA_NOTREND]]-_xlfn.XLOOKUP(Poland_GVA[[#This Row],[QUARTER]],Indicators[QUARTER],Indicators[CLEANED],0)</f>
        <v>-13821.238737075197</v>
      </c>
    </row>
    <row r="91" spans="1:6" x14ac:dyDescent="0.2">
      <c r="A91" t="s">
        <v>90</v>
      </c>
      <c r="B91" s="2">
        <f t="shared" si="2"/>
        <v>2017</v>
      </c>
      <c r="C91" s="2">
        <f t="shared" si="3"/>
        <v>2</v>
      </c>
      <c r="D91" s="3">
        <v>616725.15354335553</v>
      </c>
      <c r="E91" s="3">
        <f>Poland_GVA[[#This Row],[GVA]]-D90</f>
        <v>11943.514974678983</v>
      </c>
      <c r="F91" s="3">
        <f>Poland_GVA[[#This Row],[GVA_NOTREND]]-_xlfn.XLOOKUP(Poland_GVA[[#This Row],[QUARTER]],Indicators[QUARTER],Indicators[CLEANED],0)</f>
        <v>5101.7258643060886</v>
      </c>
    </row>
    <row r="92" spans="1:6" x14ac:dyDescent="0.2">
      <c r="A92" t="s">
        <v>91</v>
      </c>
      <c r="B92" s="2">
        <f t="shared" si="2"/>
        <v>2017</v>
      </c>
      <c r="C92" s="2">
        <f t="shared" si="3"/>
        <v>3</v>
      </c>
      <c r="D92" s="3">
        <v>627891.6463946047</v>
      </c>
      <c r="E92" s="3">
        <f>Poland_GVA[[#This Row],[GVA]]-D91</f>
        <v>11166.492851249175</v>
      </c>
      <c r="F92" s="3">
        <f>Poland_GVA[[#This Row],[GVA_NOTREND]]-_xlfn.XLOOKUP(Poland_GVA[[#This Row],[QUARTER]],Indicators[QUARTER],Indicators[CLEANED],0)</f>
        <v>4402.6934877683343</v>
      </c>
    </row>
    <row r="93" spans="1:6" x14ac:dyDescent="0.2">
      <c r="A93" t="s">
        <v>92</v>
      </c>
      <c r="B93" s="2">
        <f t="shared" si="2"/>
        <v>2017</v>
      </c>
      <c r="C93" s="2">
        <f t="shared" si="3"/>
        <v>4</v>
      </c>
      <c r="D93" s="3">
        <v>721063.39475400222</v>
      </c>
      <c r="E93" s="3">
        <f>Poland_GVA[[#This Row],[GVA]]-D92</f>
        <v>93171.748359397519</v>
      </c>
      <c r="F93" s="3">
        <f>Poland_GVA[[#This Row],[GVA_NOTREND]]-_xlfn.XLOOKUP(Poland_GVA[[#This Row],[QUARTER]],Indicators[QUARTER],Indicators[CLEANED],0)</f>
        <v>29460.327751648991</v>
      </c>
    </row>
    <row r="94" spans="1:6" x14ac:dyDescent="0.2">
      <c r="A94" t="s">
        <v>93</v>
      </c>
      <c r="B94" s="2">
        <f t="shared" si="2"/>
        <v>2018</v>
      </c>
      <c r="C94" s="2">
        <f t="shared" si="3"/>
        <v>1</v>
      </c>
      <c r="D94" s="3">
        <v>641374.72944065079</v>
      </c>
      <c r="E94" s="3">
        <f>Poland_GVA[[#This Row],[GVA]]-D93</f>
        <v>-79688.665313351434</v>
      </c>
      <c r="F94" s="3">
        <f>Poland_GVA[[#This Row],[GVA_NOTREND]]-_xlfn.XLOOKUP(Poland_GVA[[#This Row],[QUARTER]],Indicators[QUARTER],Indicators[CLEANED],0)</f>
        <v>-2371.6562317491771</v>
      </c>
    </row>
    <row r="95" spans="1:6" x14ac:dyDescent="0.2">
      <c r="A95" t="s">
        <v>94</v>
      </c>
      <c r="B95" s="2">
        <f t="shared" si="2"/>
        <v>2018</v>
      </c>
      <c r="C95" s="2">
        <f t="shared" si="3"/>
        <v>2</v>
      </c>
      <c r="D95" s="3">
        <v>657822.88172809617</v>
      </c>
      <c r="E95" s="3">
        <f>Poland_GVA[[#This Row],[GVA]]-D94</f>
        <v>16448.15228744538</v>
      </c>
      <c r="F95" s="3">
        <f>Poland_GVA[[#This Row],[GVA_NOTREND]]-_xlfn.XLOOKUP(Poland_GVA[[#This Row],[QUARTER]],Indicators[QUARTER],Indicators[CLEANED],0)</f>
        <v>9606.363177072486</v>
      </c>
    </row>
    <row r="96" spans="1:6" x14ac:dyDescent="0.2">
      <c r="A96" t="s">
        <v>95</v>
      </c>
      <c r="B96" s="2">
        <f t="shared" si="2"/>
        <v>2018</v>
      </c>
      <c r="C96" s="2">
        <f t="shared" si="3"/>
        <v>3</v>
      </c>
      <c r="D96" s="3">
        <v>670285.26036325423</v>
      </c>
      <c r="E96" s="3">
        <f>Poland_GVA[[#This Row],[GVA]]-D95</f>
        <v>12462.378635158064</v>
      </c>
      <c r="F96" s="3">
        <f>Poland_GVA[[#This Row],[GVA_NOTREND]]-_xlfn.XLOOKUP(Poland_GVA[[#This Row],[QUARTER]],Indicators[QUARTER],Indicators[CLEANED],0)</f>
        <v>5698.579271677223</v>
      </c>
    </row>
    <row r="97" spans="1:6" x14ac:dyDescent="0.2">
      <c r="A97" t="s">
        <v>96</v>
      </c>
      <c r="B97" s="2">
        <f t="shared" si="2"/>
        <v>2018</v>
      </c>
      <c r="C97" s="2">
        <f t="shared" si="3"/>
        <v>4</v>
      </c>
      <c r="D97" s="3">
        <v>761423.91029791767</v>
      </c>
      <c r="E97" s="3">
        <f>Poland_GVA[[#This Row],[GVA]]-D96</f>
        <v>91138.649934663437</v>
      </c>
      <c r="F97" s="3">
        <f>Poland_GVA[[#This Row],[GVA_NOTREND]]-_xlfn.XLOOKUP(Poland_GVA[[#This Row],[QUARTER]],Indicators[QUARTER],Indicators[CLEANED],0)</f>
        <v>27427.229326914909</v>
      </c>
    </row>
    <row r="98" spans="1:6" x14ac:dyDescent="0.2">
      <c r="A98" t="s">
        <v>97</v>
      </c>
      <c r="B98" s="2">
        <f t="shared" si="2"/>
        <v>2019</v>
      </c>
      <c r="C98" s="2">
        <f t="shared" si="3"/>
        <v>1</v>
      </c>
      <c r="D98" s="3">
        <v>673134.11808472697</v>
      </c>
      <c r="E98" s="3">
        <f>Poland_GVA[[#This Row],[GVA]]-D97</f>
        <v>-88289.792213190696</v>
      </c>
      <c r="F98" s="3">
        <f>Poland_GVA[[#This Row],[GVA_NOTREND]]-_xlfn.XLOOKUP(Poland_GVA[[#This Row],[QUARTER]],Indicators[QUARTER],Indicators[CLEANED],0)</f>
        <v>-10972.78313158844</v>
      </c>
    </row>
    <row r="99" spans="1:6" x14ac:dyDescent="0.2">
      <c r="A99" t="s">
        <v>98</v>
      </c>
      <c r="B99" s="2">
        <f t="shared" si="2"/>
        <v>2019</v>
      </c>
      <c r="C99" s="2">
        <f t="shared" si="3"/>
        <v>2</v>
      </c>
      <c r="D99" s="3">
        <v>690442.12838869856</v>
      </c>
      <c r="E99" s="3">
        <f>Poland_GVA[[#This Row],[GVA]]-D98</f>
        <v>17308.01030397159</v>
      </c>
      <c r="F99" s="3">
        <f>Poland_GVA[[#This Row],[GVA_NOTREND]]-_xlfn.XLOOKUP(Poland_GVA[[#This Row],[QUARTER]],Indicators[QUARTER],Indicators[CLEANED],0)</f>
        <v>10466.221193598696</v>
      </c>
    </row>
    <row r="100" spans="1:6" x14ac:dyDescent="0.2">
      <c r="A100" t="s">
        <v>99</v>
      </c>
      <c r="B100" s="2">
        <f t="shared" si="2"/>
        <v>2019</v>
      </c>
      <c r="C100" s="2">
        <f t="shared" si="3"/>
        <v>3</v>
      </c>
      <c r="D100" s="3">
        <v>701751.90856959182</v>
      </c>
      <c r="E100" s="3">
        <f>Poland_GVA[[#This Row],[GVA]]-D99</f>
        <v>11309.780180893256</v>
      </c>
      <c r="F100" s="3">
        <f>Poland_GVA[[#This Row],[GVA_NOTREND]]-_xlfn.XLOOKUP(Poland_GVA[[#This Row],[QUARTER]],Indicators[QUARTER],Indicators[CLEANED],0)</f>
        <v>4545.9808174124155</v>
      </c>
    </row>
    <row r="101" spans="1:6" x14ac:dyDescent="0.2">
      <c r="A101" t="s">
        <v>100</v>
      </c>
      <c r="B101" s="2">
        <f t="shared" si="2"/>
        <v>2019</v>
      </c>
      <c r="C101" s="2">
        <f t="shared" si="3"/>
        <v>4</v>
      </c>
      <c r="D101" s="3">
        <v>787932.87051403627</v>
      </c>
      <c r="E101" s="3">
        <f>Poland_GVA[[#This Row],[GVA]]-D100</f>
        <v>86180.961944444454</v>
      </c>
      <c r="F101" s="3">
        <f>Poland_GVA[[#This Row],[GVA_NOTREND]]-_xlfn.XLOOKUP(Poland_GVA[[#This Row],[QUARTER]],Indicators[QUARTER],Indicators[CLEANED],0)</f>
        <v>22469.541336695926</v>
      </c>
    </row>
    <row r="102" spans="1:6" x14ac:dyDescent="0.2">
      <c r="A102" t="s">
        <v>101</v>
      </c>
      <c r="B102" s="2">
        <f t="shared" si="2"/>
        <v>2020</v>
      </c>
      <c r="C102" s="2">
        <f t="shared" si="3"/>
        <v>1</v>
      </c>
      <c r="D102" s="3">
        <v>691099.05187100475</v>
      </c>
      <c r="E102" s="3">
        <f>Poland_GVA[[#This Row],[GVA]]-D101</f>
        <v>-96833.818643031525</v>
      </c>
      <c r="F102" s="3">
        <f>Poland_GVA[[#This Row],[GVA_NOTREND]]-_xlfn.XLOOKUP(Poland_GVA[[#This Row],[QUARTER]],Indicators[QUARTER],Indicators[CLEANED],0)</f>
        <v>-19516.809561429269</v>
      </c>
    </row>
    <row r="103" spans="1:6" x14ac:dyDescent="0.2">
      <c r="A103" t="s">
        <v>102</v>
      </c>
      <c r="B103" s="2">
        <f t="shared" si="2"/>
        <v>2020</v>
      </c>
      <c r="C103" s="2">
        <f t="shared" si="3"/>
        <v>2</v>
      </c>
      <c r="D103" s="3">
        <v>637334.13397561864</v>
      </c>
      <c r="E103" s="3">
        <f>Poland_GVA[[#This Row],[GVA]]-D102</f>
        <v>-53764.917895386112</v>
      </c>
      <c r="F103" s="3">
        <f>Poland_GVA[[#This Row],[GVA_NOTREND]]-_xlfn.XLOOKUP(Poland_GVA[[#This Row],[QUARTER]],Indicators[QUARTER],Indicators[CLEANED],0)</f>
        <v>-60606.707005759003</v>
      </c>
    </row>
    <row r="104" spans="1:6" x14ac:dyDescent="0.2">
      <c r="A104" t="s">
        <v>103</v>
      </c>
      <c r="B104" s="2">
        <f t="shared" si="2"/>
        <v>2020</v>
      </c>
      <c r="C104" s="2">
        <f t="shared" si="3"/>
        <v>3</v>
      </c>
      <c r="D104" s="3">
        <v>691172.77313508734</v>
      </c>
      <c r="E104" s="3">
        <f>Poland_GVA[[#This Row],[GVA]]-D103</f>
        <v>53838.639159468701</v>
      </c>
      <c r="F104" s="3">
        <f>Poland_GVA[[#This Row],[GVA_NOTREND]]-_xlfn.XLOOKUP(Poland_GVA[[#This Row],[QUARTER]],Indicators[QUARTER],Indicators[CLEANED],0)</f>
        <v>47074.839795987864</v>
      </c>
    </row>
    <row r="105" spans="1:6" x14ac:dyDescent="0.2">
      <c r="A105" t="s">
        <v>104</v>
      </c>
      <c r="B105" s="2">
        <f t="shared" si="2"/>
        <v>2020</v>
      </c>
      <c r="C105" s="2">
        <f t="shared" si="3"/>
        <v>4</v>
      </c>
      <c r="D105" s="3">
        <v>774871.07098255632</v>
      </c>
      <c r="E105" s="3">
        <f>Poland_GVA[[#This Row],[GVA]]-D104</f>
        <v>83698.297847468988</v>
      </c>
      <c r="F105" s="3">
        <f>Poland_GVA[[#This Row],[GVA_NOTREND]]-_xlfn.XLOOKUP(Poland_GVA[[#This Row],[QUARTER]],Indicators[QUARTER],Indicators[CLEANED],0)</f>
        <v>19986.877239720459</v>
      </c>
    </row>
    <row r="106" spans="1:6" x14ac:dyDescent="0.2">
      <c r="A106" t="s">
        <v>105</v>
      </c>
      <c r="B106" s="2">
        <f t="shared" si="2"/>
        <v>2021</v>
      </c>
      <c r="C106" s="2">
        <f t="shared" si="3"/>
        <v>1</v>
      </c>
      <c r="D106" s="3">
        <v>690556.73144468141</v>
      </c>
      <c r="E106" s="3">
        <f>Poland_GVA[[#This Row],[GVA]]-D105</f>
        <v>-84314.339537874912</v>
      </c>
      <c r="F106" s="3">
        <f>Poland_GVA[[#This Row],[GVA_NOTREND]]-_xlfn.XLOOKUP(Poland_GVA[[#This Row],[QUARTER]],Indicators[QUARTER],Indicators[CLEANED],0)</f>
        <v>-6997.3304562726553</v>
      </c>
    </row>
    <row r="107" spans="1:6" x14ac:dyDescent="0.2">
      <c r="A107" t="s">
        <v>106</v>
      </c>
      <c r="B107" s="2">
        <f t="shared" si="2"/>
        <v>2021</v>
      </c>
      <c r="C107" s="2">
        <f t="shared" si="3"/>
        <v>2</v>
      </c>
      <c r="D107" s="3">
        <v>707594.92192211084</v>
      </c>
      <c r="E107" s="3">
        <f>Poland_GVA[[#This Row],[GVA]]-D106</f>
        <v>17038.190477429423</v>
      </c>
      <c r="F107" s="3">
        <f>Poland_GVA[[#This Row],[GVA_NOTREND]]-_xlfn.XLOOKUP(Poland_GVA[[#This Row],[QUARTER]],Indicators[QUARTER],Indicators[CLEANED],0)</f>
        <v>10196.401367056529</v>
      </c>
    </row>
    <row r="108" spans="1:6" x14ac:dyDescent="0.2">
      <c r="A108" t="s">
        <v>107</v>
      </c>
      <c r="B108" s="2">
        <f t="shared" si="2"/>
        <v>2021</v>
      </c>
      <c r="C108" s="2">
        <f t="shared" si="3"/>
        <v>3</v>
      </c>
      <c r="D108" s="3">
        <v>735934.18006740545</v>
      </c>
      <c r="E108" s="3">
        <f>Poland_GVA[[#This Row],[GVA]]-D107</f>
        <v>28339.258145294618</v>
      </c>
      <c r="F108" s="3">
        <f>Poland_GVA[[#This Row],[GVA_NOTREND]]-_xlfn.XLOOKUP(Poland_GVA[[#This Row],[QUARTER]],Indicators[QUARTER],Indicators[CLEANED],0)</f>
        <v>21575.458781813777</v>
      </c>
    </row>
    <row r="109" spans="1:6" x14ac:dyDescent="0.2">
      <c r="A109" t="s">
        <v>108</v>
      </c>
      <c r="B109" s="2">
        <f t="shared" si="2"/>
        <v>2021</v>
      </c>
      <c r="C109" s="2">
        <f t="shared" si="3"/>
        <v>4</v>
      </c>
      <c r="D109" s="3">
        <v>845645.89719769661</v>
      </c>
      <c r="E109" s="3">
        <f>Poland_GVA[[#This Row],[GVA]]-D108</f>
        <v>109711.71713029116</v>
      </c>
      <c r="F109" s="3">
        <f>Poland_GVA[[#This Row],[GVA_NOTREND]]-_xlfn.XLOOKUP(Poland_GVA[[#This Row],[QUARTER]],Indicators[QUARTER],Indicators[CLEANED],0)</f>
        <v>46000.296522542631</v>
      </c>
    </row>
    <row r="110" spans="1:6" x14ac:dyDescent="0.2">
      <c r="A110" t="s">
        <v>109</v>
      </c>
      <c r="B110" s="2">
        <f t="shared" si="2"/>
        <v>2022</v>
      </c>
      <c r="C110" s="2">
        <f t="shared" si="3"/>
        <v>1</v>
      </c>
      <c r="D110" s="3">
        <v>755483.45083814778</v>
      </c>
      <c r="E110" s="3">
        <f>Poland_GVA[[#This Row],[GVA]]-D109</f>
        <v>-90162.446359548834</v>
      </c>
      <c r="F110" s="3">
        <f>Poland_GVA[[#This Row],[GVA_NOTREND]]-_xlfn.XLOOKUP(Poland_GVA[[#This Row],[QUARTER]],Indicators[QUARTER],Indicators[CLEANED],0)</f>
        <v>-12845.437277946578</v>
      </c>
    </row>
    <row r="111" spans="1:6" x14ac:dyDescent="0.2">
      <c r="A111" t="s">
        <v>110</v>
      </c>
      <c r="B111" s="2">
        <f t="shared" si="2"/>
        <v>2022</v>
      </c>
      <c r="C111" s="2">
        <f t="shared" si="3"/>
        <v>2</v>
      </c>
      <c r="D111" s="3">
        <v>748591.18283974146</v>
      </c>
      <c r="E111" s="3">
        <f>Poland_GVA[[#This Row],[GVA]]-D110</f>
        <v>-6892.2679984063143</v>
      </c>
      <c r="F111" s="3">
        <f>Poland_GVA[[#This Row],[GVA_NOTREND]]-_xlfn.XLOOKUP(Poland_GVA[[#This Row],[QUARTER]],Indicators[QUARTER],Indicators[CLEANED],0)</f>
        <v>-13734.057108779209</v>
      </c>
    </row>
    <row r="112" spans="1:6" x14ac:dyDescent="0.2">
      <c r="A112" t="s">
        <v>111</v>
      </c>
      <c r="B112" s="2">
        <f t="shared" si="2"/>
        <v>2022</v>
      </c>
      <c r="C112" s="2">
        <f t="shared" si="3"/>
        <v>3</v>
      </c>
      <c r="D112" s="3">
        <v>781283.21249379241</v>
      </c>
      <c r="E112" s="3">
        <f>Poland_GVA[[#This Row],[GVA]]-D111</f>
        <v>32692.029654050944</v>
      </c>
      <c r="F112" s="3">
        <f>Poland_GVA[[#This Row],[GVA_NOTREND]]-_xlfn.XLOOKUP(Poland_GVA[[#This Row],[QUARTER]],Indicators[QUARTER],Indicators[CLEANED],0)</f>
        <v>25928.230290570104</v>
      </c>
    </row>
    <row r="113" spans="1:6" x14ac:dyDescent="0.2">
      <c r="A113" t="s">
        <v>112</v>
      </c>
      <c r="B113" s="2">
        <f t="shared" si="2"/>
        <v>2022</v>
      </c>
      <c r="C113" s="2">
        <f t="shared" si="3"/>
        <v>4</v>
      </c>
      <c r="D113" s="3">
        <v>856947.50102020963</v>
      </c>
      <c r="E113" s="3">
        <f>Poland_GVA[[#This Row],[GVA]]-D112</f>
        <v>75664.288526417222</v>
      </c>
      <c r="F113" s="3">
        <f>Poland_GVA[[#This Row],[GVA_NOTREND]]-_xlfn.XLOOKUP(Poland_GVA[[#This Row],[QUARTER]],Indicators[QUARTER],Indicators[CLEANED],0)</f>
        <v>11952.867918668693</v>
      </c>
    </row>
    <row r="114" spans="1:6" x14ac:dyDescent="0.2">
      <c r="A114" t="s">
        <v>113</v>
      </c>
      <c r="B114" s="2">
        <f t="shared" si="2"/>
        <v>2023</v>
      </c>
      <c r="C114" s="2">
        <f t="shared" si="3"/>
        <v>1</v>
      </c>
      <c r="D114" s="3">
        <v>754949.84292485216</v>
      </c>
      <c r="E114" s="3">
        <f>Poland_GVA[[#This Row],[GVA]]-D113</f>
        <v>-101997.65809535747</v>
      </c>
      <c r="F114" s="3">
        <f>Poland_GVA[[#This Row],[GVA_NOTREND]]-_xlfn.XLOOKUP(Poland_GVA[[#This Row],[QUARTER]],Indicators[QUARTER],Indicators[CLEANED],0)</f>
        <v>-24680.649013755217</v>
      </c>
    </row>
    <row r="115" spans="1:6" x14ac:dyDescent="0.2">
      <c r="A115" t="s">
        <v>114</v>
      </c>
      <c r="B115" s="2">
        <f t="shared" si="2"/>
        <v>2023</v>
      </c>
      <c r="C115" s="2">
        <f t="shared" si="3"/>
        <v>2</v>
      </c>
      <c r="D115" s="3">
        <v>748533.54621509498</v>
      </c>
      <c r="E115" s="3">
        <f>Poland_GVA[[#This Row],[GVA]]-D114</f>
        <v>-6416.2967097571818</v>
      </c>
      <c r="F115" s="3">
        <f>Poland_GVA[[#This Row],[GVA_NOTREND]]-_xlfn.XLOOKUP(Poland_GVA[[#This Row],[QUARTER]],Indicators[QUARTER],Indicators[CLEANED],0)</f>
        <v>-13258.085820130076</v>
      </c>
    </row>
    <row r="116" spans="1:6" x14ac:dyDescent="0.2">
      <c r="A116" t="s">
        <v>115</v>
      </c>
      <c r="B116" s="2">
        <f t="shared" si="2"/>
        <v>2023</v>
      </c>
      <c r="C116" s="2">
        <f t="shared" si="3"/>
        <v>3</v>
      </c>
      <c r="D116" s="3">
        <v>793228.60400973889</v>
      </c>
      <c r="E116" s="3">
        <f>Poland_GVA[[#This Row],[GVA]]-D115</f>
        <v>44695.057794643915</v>
      </c>
      <c r="F116" s="3">
        <f>Poland_GVA[[#This Row],[GVA_NOTREND]]-_xlfn.XLOOKUP(Poland_GVA[[#This Row],[QUARTER]],Indicators[QUARTER],Indicators[CLEANED],0)</f>
        <v>37931.258431163078</v>
      </c>
    </row>
    <row r="117" spans="1:6" x14ac:dyDescent="0.2">
      <c r="A117" t="s">
        <v>116</v>
      </c>
      <c r="B117" s="2">
        <f t="shared" si="2"/>
        <v>2023</v>
      </c>
      <c r="C117" s="2">
        <f t="shared" si="3"/>
        <v>4</v>
      </c>
      <c r="D117" s="3">
        <v>886562.53915011801</v>
      </c>
      <c r="E117" s="3">
        <f>Poland_GVA[[#This Row],[GVA]]-D116</f>
        <v>93333.935140379122</v>
      </c>
      <c r="F117" s="3">
        <f>Poland_GVA[[#This Row],[GVA_NOTREND]]-_xlfn.XLOOKUP(Poland_GVA[[#This Row],[QUARTER]],Indicators[QUARTER],Indicators[CLEANED],0)</f>
        <v>29622.514532630594</v>
      </c>
    </row>
    <row r="118" spans="1:6" x14ac:dyDescent="0.2">
      <c r="A118" t="s">
        <v>117</v>
      </c>
      <c r="B118" s="2">
        <f t="shared" si="2"/>
        <v>2024</v>
      </c>
      <c r="C118" s="2">
        <f t="shared" si="3"/>
        <v>1</v>
      </c>
      <c r="D118" s="3">
        <v>763055.56293005683</v>
      </c>
      <c r="E118" s="3">
        <f>Poland_GVA[[#This Row],[GVA]]-D117</f>
        <v>-123506.97622006119</v>
      </c>
      <c r="F118" s="3">
        <f>Poland_GVA[[#This Row],[GVA_NOTREND]]-_xlfn.XLOOKUP(Poland_GVA[[#This Row],[QUARTER]],Indicators[QUARTER],Indicators[CLEANED],0)</f>
        <v>-46189.967138458931</v>
      </c>
    </row>
    <row r="119" spans="1:6" x14ac:dyDescent="0.2">
      <c r="A119" t="s">
        <v>118</v>
      </c>
      <c r="B119" s="2">
        <f t="shared" si="2"/>
        <v>2024</v>
      </c>
      <c r="C119" s="2">
        <f t="shared" si="3"/>
        <v>2</v>
      </c>
      <c r="D119" s="3">
        <v>779357.07692130888</v>
      </c>
      <c r="E119" s="3">
        <f>Poland_GVA[[#This Row],[GVA]]-D118</f>
        <v>16301.513991252054</v>
      </c>
      <c r="F119" s="3">
        <f>Poland_GVA[[#This Row],[GVA_NOTREND]]-_xlfn.XLOOKUP(Poland_GVA[[#This Row],[QUARTER]],Indicators[QUARTER],Indicators[CLEANED],0)</f>
        <v>9459.7248808791592</v>
      </c>
    </row>
    <row r="120" spans="1:6" x14ac:dyDescent="0.2">
      <c r="A120" t="s">
        <v>119</v>
      </c>
      <c r="B120" s="2">
        <f t="shared" si="2"/>
        <v>2024</v>
      </c>
      <c r="C120" s="2">
        <f t="shared" si="3"/>
        <v>3</v>
      </c>
      <c r="D120" s="3">
        <v>795547.87497777515</v>
      </c>
      <c r="E120" s="3">
        <f>Poland_GVA[[#This Row],[GVA]]-D119</f>
        <v>16190.798056466272</v>
      </c>
      <c r="F120" s="3">
        <f>Poland_GVA[[#This Row],[GVA_NOTREND]]-_xlfn.XLOOKUP(Poland_GVA[[#This Row],[QUARTER]],Indicators[QUARTER],Indicators[CLEANED],0)</f>
        <v>9426.9986929854313</v>
      </c>
    </row>
    <row r="121" spans="1:6" x14ac:dyDescent="0.2">
      <c r="A121" t="s">
        <v>120</v>
      </c>
      <c r="B121" s="2">
        <f t="shared" si="2"/>
        <v>2024</v>
      </c>
      <c r="C121" s="2">
        <f t="shared" si="3"/>
        <v>4</v>
      </c>
      <c r="D121" s="3">
        <v>911254.60530325724</v>
      </c>
      <c r="E121" s="3">
        <f>Poland_GVA[[#This Row],[GVA]]-D120</f>
        <v>115706.73032548209</v>
      </c>
      <c r="F121" s="3">
        <f>Poland_GVA[[#This Row],[GVA_NOTREND]]-_xlfn.XLOOKUP(Poland_GVA[[#This Row],[QUARTER]],Indicators[QUARTER],Indicators[CLEANED],0)</f>
        <v>51995.309717733559</v>
      </c>
    </row>
    <row r="122" spans="1:6" x14ac:dyDescent="0.2">
      <c r="A122" t="s">
        <v>121</v>
      </c>
      <c r="B122" s="2">
        <f t="shared" si="2"/>
        <v>2025</v>
      </c>
      <c r="C122" s="2">
        <f t="shared" si="3"/>
        <v>1</v>
      </c>
      <c r="D122" s="3">
        <v>778847.99808315351</v>
      </c>
      <c r="E122" s="3">
        <f>Poland_GVA[[#This Row],[GVA]]-D121</f>
        <v>-132406.60722010373</v>
      </c>
      <c r="F122" s="3">
        <f>Poland_GVA[[#This Row],[GVA_NOTREND]]-_xlfn.XLOOKUP(Poland_GVA[[#This Row],[QUARTER]],Indicators[QUARTER],Indicators[CLEANED],0)</f>
        <v>-55089.598138501475</v>
      </c>
    </row>
    <row r="123" spans="1:6" x14ac:dyDescent="0.2">
      <c r="A123" t="s">
        <v>122</v>
      </c>
      <c r="B123" s="2">
        <f t="shared" si="2"/>
        <v>2025</v>
      </c>
      <c r="C123" s="2">
        <f t="shared" si="3"/>
        <v>2</v>
      </c>
      <c r="D123" s="3">
        <v>796258.68200219271</v>
      </c>
      <c r="E123" s="3">
        <f>Poland_GVA[[#This Row],[GVA]]-D122</f>
        <v>17410.683919039206</v>
      </c>
      <c r="F123" s="3">
        <f>Poland_GVA[[#This Row],[GVA_NOTREND]]-_xlfn.XLOOKUP(Poland_GVA[[#This Row],[QUARTER]],Indicators[QUARTER],Indicators[CLEANED],0)</f>
        <v>10568.894808666311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CD2B4F-4D4D-E348-B995-0F16A8E592B8}">
  <dimension ref="A1:C8"/>
  <sheetViews>
    <sheetView workbookViewId="0">
      <selection activeCell="C11" sqref="C11"/>
    </sheetView>
  </sheetViews>
  <sheetFormatPr baseColWidth="10" defaultRowHeight="16" x14ac:dyDescent="0.2"/>
  <cols>
    <col min="1" max="1" width="28.1640625" bestFit="1" customWidth="1"/>
    <col min="2" max="2" width="12.1640625" style="1" bestFit="1" customWidth="1"/>
    <col min="3" max="3" width="11.83203125" style="1" bestFit="1" customWidth="1"/>
  </cols>
  <sheetData>
    <row r="1" spans="1:3" x14ac:dyDescent="0.2">
      <c r="A1" s="1" t="s">
        <v>125</v>
      </c>
      <c r="B1" s="1" t="s">
        <v>127</v>
      </c>
      <c r="C1" s="1" t="s">
        <v>128</v>
      </c>
    </row>
    <row r="2" spans="1:3" x14ac:dyDescent="0.2">
      <c r="A2" s="2">
        <v>1</v>
      </c>
      <c r="B2" s="1">
        <f>AVERAGEIF(Poland_GVA[QUARTER],Indicators[[#This Row],[QUARTER]],Poland_GVA[GVA_NOTREND])</f>
        <v>-72849.869805159571</v>
      </c>
      <c r="C2" s="1" cm="1">
        <f t="array" ref="C2">Indicators[[#This Row],[RAW]]-Table3[AVERAGE_RAW_INDICATORS]</f>
        <v>-77317.009081602257</v>
      </c>
    </row>
    <row r="3" spans="1:3" x14ac:dyDescent="0.2">
      <c r="A3" s="2">
        <v>2</v>
      </c>
      <c r="B3" s="1">
        <f>AVERAGEIF(Poland_GVA[QUARTER],Indicators[[#This Row],[QUARTER]],Poland_GVA[GVA_NOTREND])</f>
        <v>11308.92838681558</v>
      </c>
      <c r="C3" s="1" cm="1">
        <f t="array" ref="C3">Indicators[[#This Row],[RAW]]-Table3[AVERAGE_RAW_INDICATORS]</f>
        <v>6841.7891103728944</v>
      </c>
    </row>
    <row r="4" spans="1:3" x14ac:dyDescent="0.2">
      <c r="A4" s="2">
        <v>3</v>
      </c>
      <c r="B4" s="1">
        <f>AVERAGEIF(Poland_GVA[QUARTER],Indicators[[#This Row],[QUARTER]],Poland_GVA[GVA_NOTREND])</f>
        <v>11230.938639923526</v>
      </c>
      <c r="C4" s="1" cm="1">
        <f t="array" ref="C4">Indicators[[#This Row],[RAW]]-Table3[AVERAGE_RAW_INDICATORS]</f>
        <v>6763.7993634808408</v>
      </c>
    </row>
    <row r="5" spans="1:3" x14ac:dyDescent="0.2">
      <c r="A5" s="2">
        <v>4</v>
      </c>
      <c r="B5" s="1">
        <f>AVERAGEIF(Poland_GVA[QUARTER],Indicators[[#This Row],[QUARTER]],Poland_GVA[GVA_NOTREND])</f>
        <v>68178.559884191214</v>
      </c>
      <c r="C5" s="1" cm="1">
        <f t="array" ref="C5">Indicators[[#This Row],[RAW]]-Table3[AVERAGE_RAW_INDICATORS]</f>
        <v>63711.420607748529</v>
      </c>
    </row>
    <row r="7" spans="1:3" x14ac:dyDescent="0.2">
      <c r="A7" s="1" t="s">
        <v>129</v>
      </c>
    </row>
    <row r="8" spans="1:3" x14ac:dyDescent="0.2">
      <c r="A8" s="1">
        <f>AVERAGE(Indicators[RAW])</f>
        <v>4467.1392764426855</v>
      </c>
    </row>
  </sheetData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46D5D51-A407-0C4D-B91B-18B9F6F5FF5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Poland GVA</vt:lpstr>
      <vt:lpstr>Indicators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Faltynowski</dc:creator>
  <cp:lastModifiedBy>Daniel Faltynowski</cp:lastModifiedBy>
  <dcterms:created xsi:type="dcterms:W3CDTF">2025-10-29T08:58:24Z</dcterms:created>
  <dcterms:modified xsi:type="dcterms:W3CDTF">2025-11-07T15:11:59Z</dcterms:modified>
</cp:coreProperties>
</file>