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faltynowski/Documents/Repositories/time-series-labs/labs/03_fitting_trend/excel/"/>
    </mc:Choice>
  </mc:AlternateContent>
  <xr:revisionPtr revIDLastSave="0" documentId="13_ncr:1_{7EDB992F-8E90-0243-A51B-BAC98B864274}" xr6:coauthVersionLast="47" xr6:coauthVersionMax="47" xr10:uidLastSave="{00000000-0000-0000-0000-000000000000}"/>
  <bookViews>
    <workbookView xWindow="0" yWindow="0" windowWidth="38400" windowHeight="21600" activeTab="6" xr2:uid="{859042F3-9E83-3D46-9B9A-7EB2FF699CE9}"/>
  </bookViews>
  <sheets>
    <sheet name="POLAND_GVA" sheetId="6" r:id="rId1"/>
    <sheet name="Linear_Trend" sheetId="2" r:id="rId2"/>
    <sheet name="Power_Trend" sheetId="11" r:id="rId3"/>
    <sheet name="Exponential_Trend" sheetId="12" r:id="rId4"/>
    <sheet name="DA_Tool_Linear" sheetId="5" r:id="rId5"/>
    <sheet name="DA_Tool_Power" sheetId="7" r:id="rId6"/>
    <sheet name="DA_Tool_Exponential" sheetId="9" r:id="rId7"/>
  </sheets>
  <definedNames>
    <definedName name="ExternalData_1" localSheetId="3" hidden="1">Exponential_Trend!#REF!</definedName>
    <definedName name="ExternalData_1" localSheetId="1" hidden="1">Linear_Trend!#REF!</definedName>
    <definedName name="ExternalData_1" localSheetId="0" hidden="1">POLAND_GVA!$A$1:$F$35</definedName>
    <definedName name="ExternalData_1" localSheetId="2" hidden="1">Power_Trend!#REF!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2" l="1" a="1"/>
  <c r="P1" i="11" a="1"/>
  <c r="P1" i="12" l="1"/>
  <c r="Q13" i="12" s="1" a="1"/>
  <c r="Q13" i="12" s="1"/>
  <c r="Q5" i="12" a="1"/>
  <c r="P1" i="11"/>
  <c r="Q13" i="11" s="1" a="1"/>
  <c r="Q13" i="11" s="1"/>
  <c r="A23" i="9"/>
  <c r="A22" i="9"/>
  <c r="E21" i="9"/>
  <c r="D21" i="9"/>
  <c r="C21" i="9"/>
  <c r="B21" i="9"/>
  <c r="A23" i="7"/>
  <c r="A22" i="7"/>
  <c r="E21" i="7"/>
  <c r="D21" i="7"/>
  <c r="C21" i="7"/>
  <c r="B21" i="7"/>
  <c r="E21" i="5"/>
  <c r="A23" i="5"/>
  <c r="A22" i="5"/>
  <c r="C21" i="5"/>
  <c r="D21" i="5"/>
  <c r="B21" i="5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2" i="6"/>
  <c r="P9" i="12" l="1" a="1"/>
  <c r="Q5" i="12"/>
  <c r="Q5" i="11" a="1"/>
  <c r="P9" i="12" l="1"/>
  <c r="Q18" i="12" a="1"/>
  <c r="B23" i="9" s="1"/>
  <c r="Q5" i="11"/>
  <c r="P9" i="11" s="1" a="1"/>
  <c r="P1" i="2" a="1"/>
  <c r="Q18" i="12" l="1"/>
  <c r="B22" i="9" s="1"/>
  <c r="P9" i="11"/>
  <c r="Q18" i="11" a="1"/>
  <c r="B23" i="7" s="1"/>
  <c r="P1" i="2"/>
  <c r="Q13" i="2" s="1" a="1"/>
  <c r="Q13" i="2" s="1"/>
  <c r="Q5" i="2" a="1"/>
  <c r="J21" i="12" l="1"/>
  <c r="M21" i="12" s="1"/>
  <c r="J18" i="12"/>
  <c r="M18" i="12" s="1"/>
  <c r="J14" i="12"/>
  <c r="M14" i="12" s="1"/>
  <c r="J11" i="12"/>
  <c r="M11" i="12" s="1"/>
  <c r="J8" i="12"/>
  <c r="M8" i="12" s="1"/>
  <c r="J5" i="12"/>
  <c r="M5" i="12" s="1"/>
  <c r="J26" i="12"/>
  <c r="M26" i="12" s="1"/>
  <c r="J24" i="12"/>
  <c r="M24" i="12" s="1"/>
  <c r="J31" i="12"/>
  <c r="M31" i="12" s="1"/>
  <c r="J20" i="12"/>
  <c r="M20" i="12" s="1"/>
  <c r="J17" i="12"/>
  <c r="M17" i="12" s="1"/>
  <c r="J7" i="12"/>
  <c r="M7" i="12" s="1"/>
  <c r="J1" i="12"/>
  <c r="M1" i="12" s="1"/>
  <c r="J19" i="12"/>
  <c r="M19" i="12" s="1"/>
  <c r="J15" i="12"/>
  <c r="M15" i="12" s="1"/>
  <c r="J12" i="12"/>
  <c r="M12" i="12" s="1"/>
  <c r="J9" i="12"/>
  <c r="M9" i="12" s="1"/>
  <c r="J2" i="12"/>
  <c r="M2" i="12" s="1"/>
  <c r="J32" i="12"/>
  <c r="M32" i="12" s="1"/>
  <c r="J29" i="12"/>
  <c r="M29" i="12" s="1"/>
  <c r="J34" i="12"/>
  <c r="M34" i="12" s="1"/>
  <c r="J10" i="12"/>
  <c r="M10" i="12" s="1"/>
  <c r="J4" i="12"/>
  <c r="M4" i="12" s="1"/>
  <c r="J16" i="12"/>
  <c r="M16" i="12" s="1"/>
  <c r="J3" i="12"/>
  <c r="M3" i="12" s="1"/>
  <c r="J33" i="12"/>
  <c r="M33" i="12" s="1"/>
  <c r="J22" i="12"/>
  <c r="M22" i="12" s="1"/>
  <c r="J27" i="12"/>
  <c r="M27" i="12" s="1"/>
  <c r="J28" i="12"/>
  <c r="M28" i="12" s="1"/>
  <c r="J23" i="12"/>
  <c r="M23" i="12" s="1"/>
  <c r="J13" i="12"/>
  <c r="M13" i="12" s="1"/>
  <c r="J6" i="12"/>
  <c r="M6" i="12" s="1"/>
  <c r="J30" i="12"/>
  <c r="M30" i="12" s="1"/>
  <c r="J25" i="12"/>
  <c r="M25" i="12" s="1"/>
  <c r="Q18" i="11"/>
  <c r="B22" i="7" s="1"/>
  <c r="Q5" i="2"/>
  <c r="P9" i="2" s="1" a="1"/>
  <c r="P21" i="12" l="1"/>
  <c r="J21" i="11"/>
  <c r="M21" i="11" s="1"/>
  <c r="J18" i="11"/>
  <c r="M18" i="11" s="1"/>
  <c r="J14" i="11"/>
  <c r="M14" i="11" s="1"/>
  <c r="J11" i="11"/>
  <c r="M11" i="11" s="1"/>
  <c r="J8" i="11"/>
  <c r="M8" i="11" s="1"/>
  <c r="J5" i="11"/>
  <c r="M5" i="11" s="1"/>
  <c r="J26" i="11"/>
  <c r="M26" i="11" s="1"/>
  <c r="J24" i="11"/>
  <c r="M24" i="11" s="1"/>
  <c r="J10" i="11"/>
  <c r="M10" i="11" s="1"/>
  <c r="J7" i="11"/>
  <c r="M7" i="11" s="1"/>
  <c r="J4" i="11"/>
  <c r="M4" i="11" s="1"/>
  <c r="J1" i="11"/>
  <c r="M1" i="11" s="1"/>
  <c r="J23" i="11"/>
  <c r="M23" i="11" s="1"/>
  <c r="J6" i="11"/>
  <c r="M6" i="11" s="1"/>
  <c r="J3" i="11"/>
  <c r="M3" i="11" s="1"/>
  <c r="J30" i="11"/>
  <c r="M30" i="11" s="1"/>
  <c r="J25" i="11"/>
  <c r="M25" i="11" s="1"/>
  <c r="J22" i="11"/>
  <c r="M22" i="11" s="1"/>
  <c r="J15" i="11"/>
  <c r="M15" i="11" s="1"/>
  <c r="J9" i="11"/>
  <c r="M9" i="11" s="1"/>
  <c r="J32" i="11"/>
  <c r="M32" i="11" s="1"/>
  <c r="J34" i="11"/>
  <c r="M34" i="11" s="1"/>
  <c r="J31" i="11"/>
  <c r="M31" i="11" s="1"/>
  <c r="J20" i="11"/>
  <c r="M20" i="11" s="1"/>
  <c r="J17" i="11"/>
  <c r="M17" i="11" s="1"/>
  <c r="J12" i="11"/>
  <c r="M12" i="11" s="1"/>
  <c r="J2" i="11"/>
  <c r="M2" i="11" s="1"/>
  <c r="J29" i="11"/>
  <c r="M29" i="11" s="1"/>
  <c r="J27" i="11"/>
  <c r="M27" i="11" s="1"/>
  <c r="J28" i="11"/>
  <c r="M28" i="11" s="1"/>
  <c r="J19" i="11"/>
  <c r="M19" i="11" s="1"/>
  <c r="J16" i="11"/>
  <c r="M16" i="11" s="1"/>
  <c r="J13" i="11"/>
  <c r="M13" i="11" s="1"/>
  <c r="J33" i="11"/>
  <c r="M33" i="11" s="1"/>
  <c r="P9" i="2"/>
  <c r="Q18" i="2" s="1" a="1"/>
  <c r="Q18" i="2" l="1"/>
  <c r="B23" i="5"/>
  <c r="Q25" i="12"/>
  <c r="Q28" i="12" s="1"/>
  <c r="Q24" i="12"/>
  <c r="Q27" i="12" s="1"/>
  <c r="P25" i="12"/>
  <c r="P28" i="12" s="1"/>
  <c r="P24" i="12"/>
  <c r="P27" i="12" s="1"/>
  <c r="P21" i="11"/>
  <c r="J2" i="2"/>
  <c r="M2" i="2" s="1"/>
  <c r="J10" i="2"/>
  <c r="M10" i="2" s="1"/>
  <c r="J18" i="2"/>
  <c r="M18" i="2" s="1"/>
  <c r="J26" i="2"/>
  <c r="M26" i="2" s="1"/>
  <c r="J34" i="2"/>
  <c r="M34" i="2" s="1"/>
  <c r="J19" i="2"/>
  <c r="M19" i="2" s="1"/>
  <c r="J1" i="2"/>
  <c r="M1" i="2" s="1"/>
  <c r="J14" i="2"/>
  <c r="M14" i="2" s="1"/>
  <c r="J7" i="2"/>
  <c r="M7" i="2" s="1"/>
  <c r="J31" i="2"/>
  <c r="M31" i="2" s="1"/>
  <c r="J32" i="2"/>
  <c r="M32" i="2" s="1"/>
  <c r="J17" i="2"/>
  <c r="M17" i="2" s="1"/>
  <c r="J3" i="2"/>
  <c r="M3" i="2" s="1"/>
  <c r="J11" i="2"/>
  <c r="M11" i="2" s="1"/>
  <c r="J27" i="2"/>
  <c r="M27" i="2" s="1"/>
  <c r="J22" i="2"/>
  <c r="M22" i="2" s="1"/>
  <c r="J15" i="2"/>
  <c r="M15" i="2" s="1"/>
  <c r="J8" i="2"/>
  <c r="M8" i="2" s="1"/>
  <c r="J9" i="2"/>
  <c r="M9" i="2" s="1"/>
  <c r="J33" i="2"/>
  <c r="M33" i="2" s="1"/>
  <c r="J4" i="2"/>
  <c r="M4" i="2" s="1"/>
  <c r="J12" i="2"/>
  <c r="M12" i="2" s="1"/>
  <c r="J20" i="2"/>
  <c r="M20" i="2" s="1"/>
  <c r="J28" i="2"/>
  <c r="M28" i="2" s="1"/>
  <c r="J13" i="2"/>
  <c r="M13" i="2" s="1"/>
  <c r="J21" i="2"/>
  <c r="M21" i="2" s="1"/>
  <c r="J29" i="2"/>
  <c r="M29" i="2" s="1"/>
  <c r="J6" i="2"/>
  <c r="M6" i="2" s="1"/>
  <c r="J30" i="2"/>
  <c r="M30" i="2" s="1"/>
  <c r="J23" i="2"/>
  <c r="M23" i="2" s="1"/>
  <c r="J24" i="2"/>
  <c r="M24" i="2" s="1"/>
  <c r="J25" i="2"/>
  <c r="M25" i="2" s="1"/>
  <c r="J5" i="2"/>
  <c r="M5" i="2" s="1"/>
  <c r="J16" i="2"/>
  <c r="M16" i="2" s="1"/>
  <c r="P30" i="12" l="1"/>
  <c r="C22" i="9"/>
  <c r="P21" i="2"/>
  <c r="P31" i="12"/>
  <c r="C23" i="9"/>
  <c r="B22" i="5"/>
  <c r="Q25" i="11"/>
  <c r="P28" i="11" s="1"/>
  <c r="R24" i="11"/>
  <c r="Q27" i="11" s="1"/>
  <c r="Q24" i="11"/>
  <c r="P27" i="11" s="1"/>
  <c r="R25" i="11"/>
  <c r="Q28" i="11" s="1"/>
  <c r="P34" i="12" l="1"/>
  <c r="E23" i="9" s="1"/>
  <c r="D23" i="9"/>
  <c r="P25" i="2"/>
  <c r="P28" i="2" s="1"/>
  <c r="Q25" i="2"/>
  <c r="Q28" i="2" s="1"/>
  <c r="Q24" i="2"/>
  <c r="Q27" i="2" s="1"/>
  <c r="P24" i="2"/>
  <c r="P27" i="2" s="1"/>
  <c r="P31" i="11"/>
  <c r="C23" i="7"/>
  <c r="P30" i="11"/>
  <c r="C22" i="7"/>
  <c r="P33" i="12"/>
  <c r="E22" i="9" s="1"/>
  <c r="D22" i="9"/>
  <c r="P34" i="11" l="1"/>
  <c r="E23" i="7" s="1"/>
  <c r="D23" i="7"/>
  <c r="C23" i="5"/>
  <c r="P31" i="2"/>
  <c r="C22" i="5"/>
  <c r="P30" i="2"/>
  <c r="P33" i="11"/>
  <c r="E22" i="7" s="1"/>
  <c r="D22" i="7"/>
  <c r="P33" i="2" l="1"/>
  <c r="E22" i="5" s="1"/>
  <c r="D22" i="5"/>
  <c r="P34" i="2"/>
  <c r="E23" i="5" s="1"/>
  <c r="D2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F178B2-371D-8A49-B8BE-A465F96582B9}" keepAlive="1" name="Query - gva_processed" description="Connection to the 'gva_processed' query in the workbook." type="5" refreshedVersion="0" background="1">
    <dbPr connection="Provider=Microsoft.Mashup.OleDb.1;Data Source=$Workbook$;Location=gva_processed;Extended Properties=&quot;&quot;" command="SELECT * FROM [gva_processed]"/>
  </connection>
  <connection id="2" xr16:uid="{75E766FD-B3F8-4D45-A124-B12C3ED9F961}" keepAlive="1" name="Query - gva_processed (2)" description="Connection to the 'gva_processed (2)' query in the workbook." type="5" refreshedVersion="8" background="1" saveData="1">
    <dbPr connection="Provider=Microsoft.Mashup.OleDb.1;Data Source=$Workbook$;Location=&quot;gva_processed (2)&quot;;Extended Properties=&quot;&quot;" command="SELECT * FROM [gva_processed (2)]"/>
  </connection>
  <connection id="3" xr16:uid="{B2DA2E85-471C-3142-9848-33E4E37BAE58}" keepAlive="1" name="Query - gva_processed (3)" description="Connection to the 'gva_processed (3)' query in the workbook." type="5" refreshedVersion="8" background="1" saveData="1">
    <dbPr connection="Provider=Microsoft.Mashup.OleDb.1;Data Source=$Workbook$;Location=&quot;gva_processed (3)&quot;;Extended Properties=&quot;&quot;" command="SELECT * FROM [gva_processed (3)]"/>
  </connection>
  <connection id="4" xr16:uid="{D460F696-0760-3D47-87AB-76EF789B38CB}" keepAlive="1" name="Query - gva_processed (4)" description="Connection to the 'gva_processed (4)' query in the workbook." type="5" refreshedVersion="8" background="1" saveData="1">
    <dbPr connection="Provider=Microsoft.Mashup.OleDb.1;Data Source=$Workbook$;Location=&quot;gva_processed (4)&quot;;Extended Properties=&quot;&quot;" command="SELECT * FROM [gva_processed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<sst xmlns="http://schemas.openxmlformats.org/spreadsheetml/2006/main" count="182" uniqueCount="88">
  <si>
    <t>TIME</t>
  </si>
  <si>
    <t>YEAR</t>
  </si>
  <si>
    <t>QUARTER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</si>
  <si>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</si>
  <si>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</si>
  <si>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</si>
  <si>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</si>
  <si>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</si>
  <si>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</si>
  <si>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</si>
  <si>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</si>
  <si>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</si>
  <si>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</si>
  <si>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</si>
  <si>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</si>
  <si>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</si>
  <si>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</si>
  <si>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</si>
  <si>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</si>
  <si>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</si>
  <si>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</si>
  <si>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</si>
  <si>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</si>
  <si>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</si>
  <si>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</si>
  <si>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</si>
  <si>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</si>
  <si>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</si>
  <si>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</si>
  <si>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</si>
  <si>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</si>
  <si>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</si>
  <si>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</si>
  <si>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</si>
  <si>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</si>
  <si>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</si>
  <si>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</si>
  <si>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GVA</t>
  </si>
  <si>
    <t>YEAR_QUARTER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</si>
  <si>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</si>
  <si>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</si>
  <si>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</si>
  <si>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</si>
  <si>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</si>
  <si>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</si>
  <si>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</si>
  <si>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</si>
  <si>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</si>
  <si>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</si>
  <si>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</si>
  <si>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</si>
  <si>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</si>
  <si>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</si>
  <si>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</si>
  <si>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</si>
  <si>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</si>
  <si>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</si>
  <si>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</si>
  <si>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</si>
  <si>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</si>
  <si>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</si>
  <si>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</si>
  <si>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</si>
  <si>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</si>
  <si>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MATRIX_OF_TIME</t>
  </si>
  <si>
    <t>TRANSPOSED_MATRIX_OF_TIME</t>
  </si>
  <si>
    <t>TRANSPOSED_MATRIX_OF_TIME * MATRIX_OF_TIME</t>
  </si>
  <si>
    <t>TRANSPOSED_MATRIX_OF_TIME * GVA</t>
  </si>
  <si>
    <t>INVERSE(TRANSPOSED_MATRIX_OF_TIME * MATRIX_OF_TIME)</t>
  </si>
  <si>
    <t>INVERSE(TRANSPOSED_MATRIX_OF_TIME * MATRIX_OF_TIME) * (TRANSPOSED_MATRIX_OF_TIME * GVA)</t>
  </si>
  <si>
    <t>\beta_0</t>
  </si>
  <si>
    <t>\beta_1</t>
  </si>
  <si>
    <t>MODEL</t>
  </si>
  <si>
    <t>(GVA - MODEL)^2</t>
  </si>
  <si>
    <t>VARIANCE_OF_(GVA - MODEL)^2</t>
  </si>
  <si>
    <t>VARIANCE_OF_(GVA - MODEL)^2 * INVERSE(TRANSPOSED_MATRIX_OF_TIME * MATRIX_OF_TIME)</t>
  </si>
  <si>
    <t>SQRT(VARIANCE_OF_(GVA - MODEL)^2 * INVERSE(TRANSPOSED_MATRIX_OF_TIME * MATRIX_OF_TIME))</t>
  </si>
  <si>
    <t>SE(\beta_0)</t>
  </si>
  <si>
    <t>SE(\beta_1)</t>
  </si>
  <si>
    <t>LN(TIME)</t>
  </si>
  <si>
    <t>LN(GVA)</t>
  </si>
  <si>
    <t>GVA_LINEAR</t>
  </si>
  <si>
    <t>GVA_POWER</t>
  </si>
  <si>
    <t>GVA_EXPONENTIAL</t>
  </si>
  <si>
    <t>MY RESULTS</t>
  </si>
  <si>
    <t>SCALAR</t>
  </si>
  <si>
    <t>T_STAT = \beta / SE(\beta)</t>
  </si>
  <si>
    <t>P_VALUE(T_STAT)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</si>
</sst>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5FF9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FFD3"/>
        <bgColor indexed="64"/>
      </patternFill>
    </fill>
    <fill>
      <patternFill patternType="solid">
        <fgColor rgb="FFFD7C8A"/>
        <bgColor indexed="64"/>
      </patternFill>
    </fill>
    <fill>
      <patternFill patternType="solid">
        <fgColor rgb="FFB596FF"/>
        <bgColor indexed="64"/>
      </patternFill>
    </fill>
    <fill>
      <patternFill patternType="solid">
        <fgColor rgb="FFFFFCD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C2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Continuous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8" borderId="0" xfId="0" applyFont="1" applyFill="1"/>
    <xf numFmtId="0" fontId="3" fillId="4" borderId="0" xfId="0" applyFont="1" applyFill="1"/>
    <xf numFmtId="0" fontId="3" fillId="0" borderId="0" xfId="0" applyFont="1"/>
    <xf numFmtId="2" fontId="0" fillId="2" borderId="0" xfId="0" applyNumberFormat="1" applyFill="1"/>
    <xf numFmtId="2" fontId="0" fillId="0" borderId="0" xfId="0" applyNumberFormat="1"/>
    <xf numFmtId="2" fontId="0" fillId="9" borderId="0" xfId="0" applyNumberFormat="1" applyFill="1"/>
    <xf numFmtId="2" fontId="0" fillId="10" borderId="0" xfId="0" applyNumberFormat="1" applyFill="1"/>
    <xf numFmtId="0" fontId="0" fillId="11" borderId="0" xfId="0" applyFill="1"/>
    <xf numFmtId="1" fontId="0" fillId="0" borderId="0" xfId="0" applyNumberFormat="1"/>
    <xf numFmtId="0" fontId="0" fillId="13" borderId="0" xfId="0" applyFill="1"/>
    <xf numFmtId="0" fontId="3" fillId="13" borderId="0" xfId="0" applyFont="1" applyFill="1"/>
    <xf numFmtId="0" fontId="0" fillId="14" borderId="0" xfId="0" applyFill="1"/>
    <xf numFmtId="0" fontId="3" fillId="12" borderId="3" xfId="0" applyFont="1" applyFill="1" applyBorder="1"/>
    <xf numFmtId="0" fontId="3" fillId="12" borderId="2" xfId="0" applyFont="1" applyFill="1" applyBorder="1"/>
    <xf numFmtId="0" fontId="4" fillId="12" borderId="2" xfId="0" applyFont="1" applyFill="1" applyBorder="1"/>
    <xf numFmtId="0" fontId="4" fillId="12" borderId="4" xfId="0" applyFont="1" applyFill="1" applyBorder="1"/>
    <xf numFmtId="0" fontId="3" fillId="12" borderId="0" xfId="0" applyFont="1" applyFill="1"/>
    <xf numFmtId="0" fontId="3" fillId="12" borderId="1" xfId="0" applyFont="1" applyFill="1" applyBorder="1"/>
  </cellXfs>
  <cellStyles count="1">
    <cellStyle name="Normal" xfId="0" builtinId="0"/>
  </cellStyles>
  <dxfs count="2">
    <dxf>
      <numFmt numFmtId="1" formatCode="0"/>
    </dxf>
    <dxf>
      <numFmt numFmtId="0" formatCode="General"/>
    </dxf>
  </dxfs>
  <tableStyles count="0" defaultTableStyle="TableStyleMedium2" defaultPivotStyle="PivotStyleLight16"/>
  <colors>
    <mruColors>
      <color rgb="FFB596FF"/>
      <color rgb="FFFF90D0"/>
      <color rgb="FF00C2FF"/>
      <color rgb="FFFFFCDE"/>
      <color rgb="FFFD7C8A"/>
      <color rgb="FFFF545F"/>
      <color rgb="FF00FFD3"/>
      <color rgb="FFF5FF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3200" b="1">
                <a:solidFill>
                  <a:srgbClr val="0070C0"/>
                </a:solidFill>
              </a:rPr>
              <a:t>Exponential</a:t>
            </a:r>
            <a:r>
              <a:rPr lang="en-GB" sz="3200" b="1" baseline="0">
                <a:solidFill>
                  <a:srgbClr val="0070C0"/>
                </a:solidFill>
              </a:rPr>
              <a:t> Model </a:t>
            </a:r>
            <a:r>
              <a:rPr lang="en-GB" sz="3200" b="1" baseline="0"/>
              <a:t>Best Describes The Trend</a:t>
            </a:r>
            <a:endParaRPr lang="en-GB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GVA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POLAND_GVA!$A$2:$A$35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POLAND_GVA!$F$2:$F$35</c:f>
              <c:numCache>
                <c:formatCode>General</c:formatCode>
                <c:ptCount val="34"/>
                <c:pt idx="0">
                  <c:v>411240.3</c:v>
                </c:pt>
                <c:pt idx="1">
                  <c:v>421998</c:v>
                </c:pt>
                <c:pt idx="2">
                  <c:v>430320.3</c:v>
                </c:pt>
                <c:pt idx="3">
                  <c:v>490967.8</c:v>
                </c:pt>
                <c:pt idx="4">
                  <c:v>439707.9</c:v>
                </c:pt>
                <c:pt idx="5">
                  <c:v>452196.1</c:v>
                </c:pt>
                <c:pt idx="6">
                  <c:v>464846.4</c:v>
                </c:pt>
                <c:pt idx="7">
                  <c:v>526763.69999999995</c:v>
                </c:pt>
                <c:pt idx="8">
                  <c:v>474780.8</c:v>
                </c:pt>
                <c:pt idx="9">
                  <c:v>489456.2</c:v>
                </c:pt>
                <c:pt idx="10">
                  <c:v>503638.8</c:v>
                </c:pt>
                <c:pt idx="11">
                  <c:v>568995.69999999995</c:v>
                </c:pt>
                <c:pt idx="12">
                  <c:v>509709.5</c:v>
                </c:pt>
                <c:pt idx="13">
                  <c:v>473153.3</c:v>
                </c:pt>
                <c:pt idx="14">
                  <c:v>517385.4</c:v>
                </c:pt>
                <c:pt idx="15">
                  <c:v>584580.9</c:v>
                </c:pt>
                <c:pt idx="16">
                  <c:v>531027.4</c:v>
                </c:pt>
                <c:pt idx="17">
                  <c:v>548448.69999999995</c:v>
                </c:pt>
                <c:pt idx="18">
                  <c:v>585019.9</c:v>
                </c:pt>
                <c:pt idx="19">
                  <c:v>655913.69999999995</c:v>
                </c:pt>
                <c:pt idx="20">
                  <c:v>622993.80000000005</c:v>
                </c:pt>
                <c:pt idx="21">
                  <c:v>647440.69999999995</c:v>
                </c:pt>
                <c:pt idx="22">
                  <c:v>702235</c:v>
                </c:pt>
                <c:pt idx="23">
                  <c:v>793577</c:v>
                </c:pt>
                <c:pt idx="24">
                  <c:v>722500.8</c:v>
                </c:pt>
                <c:pt idx="25">
                  <c:v>744773.4</c:v>
                </c:pt>
                <c:pt idx="26">
                  <c:v>760667.4</c:v>
                </c:pt>
                <c:pt idx="27">
                  <c:v>857993.4</c:v>
                </c:pt>
                <c:pt idx="28">
                  <c:v>748145</c:v>
                </c:pt>
                <c:pt idx="29">
                  <c:v>772052</c:v>
                </c:pt>
                <c:pt idx="30">
                  <c:v>807767.9</c:v>
                </c:pt>
                <c:pt idx="31">
                  <c:v>921249</c:v>
                </c:pt>
                <c:pt idx="32">
                  <c:v>785342.5</c:v>
                </c:pt>
                <c:pt idx="33">
                  <c:v>816793.1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58A-8446-9F31-4BE07E3F074D}"/>
            </c:ext>
          </c:extLst>
        </c:ser>
        <c:ser>
          <c:idx val="1"/>
          <c:order val="1"/>
          <c:tx>
            <c:v>LINEAR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POLAND_GVA!$A$2:$A$35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POLAND_GVA!$H$2:$H$35</c:f>
              <c:numCache>
                <c:formatCode>General</c:formatCode>
                <c:ptCount val="34"/>
                <c:pt idx="0">
                  <c:v>380427.55478991603</c:v>
                </c:pt>
                <c:pt idx="1">
                  <c:v>394418.90048892295</c:v>
                </c:pt>
                <c:pt idx="2">
                  <c:v>408410.24618792982</c:v>
                </c:pt>
                <c:pt idx="3">
                  <c:v>422401.59188693669</c:v>
                </c:pt>
                <c:pt idx="4">
                  <c:v>436392.93758594355</c:v>
                </c:pt>
                <c:pt idx="5">
                  <c:v>450384.28328495042</c:v>
                </c:pt>
                <c:pt idx="6">
                  <c:v>464375.62898395734</c:v>
                </c:pt>
                <c:pt idx="7">
                  <c:v>478366.97468296421</c:v>
                </c:pt>
                <c:pt idx="8">
                  <c:v>492358.32038197108</c:v>
                </c:pt>
                <c:pt idx="9">
                  <c:v>506349.666080978</c:v>
                </c:pt>
                <c:pt idx="10">
                  <c:v>520341.01177998481</c:v>
                </c:pt>
                <c:pt idx="11">
                  <c:v>534332.35747899173</c:v>
                </c:pt>
                <c:pt idx="12">
                  <c:v>548323.70317799854</c:v>
                </c:pt>
                <c:pt idx="13">
                  <c:v>562315.04887700547</c:v>
                </c:pt>
                <c:pt idx="14">
                  <c:v>576306.39457601239</c:v>
                </c:pt>
                <c:pt idx="15">
                  <c:v>590297.7402750192</c:v>
                </c:pt>
                <c:pt idx="16">
                  <c:v>604289.08597402612</c:v>
                </c:pt>
                <c:pt idx="17">
                  <c:v>618280.43167303293</c:v>
                </c:pt>
                <c:pt idx="18">
                  <c:v>632271.77737203985</c:v>
                </c:pt>
                <c:pt idx="19">
                  <c:v>646263.12307104678</c:v>
                </c:pt>
                <c:pt idx="20">
                  <c:v>660254.4687700537</c:v>
                </c:pt>
                <c:pt idx="21">
                  <c:v>674245.81446906051</c:v>
                </c:pt>
                <c:pt idx="22">
                  <c:v>688237.16016806732</c:v>
                </c:pt>
                <c:pt idx="23">
                  <c:v>702228.50586707424</c:v>
                </c:pt>
                <c:pt idx="24">
                  <c:v>716219.85156608117</c:v>
                </c:pt>
                <c:pt idx="25">
                  <c:v>730211.19726508809</c:v>
                </c:pt>
                <c:pt idx="26">
                  <c:v>744202.5429640949</c:v>
                </c:pt>
                <c:pt idx="27">
                  <c:v>758193.88866310171</c:v>
                </c:pt>
                <c:pt idx="28">
                  <c:v>772185.23436210863</c:v>
                </c:pt>
                <c:pt idx="29">
                  <c:v>786176.58006111556</c:v>
                </c:pt>
                <c:pt idx="30">
                  <c:v>800167.92576012248</c:v>
                </c:pt>
                <c:pt idx="31">
                  <c:v>814159.27145912929</c:v>
                </c:pt>
                <c:pt idx="32">
                  <c:v>828150.6171581361</c:v>
                </c:pt>
                <c:pt idx="33">
                  <c:v>842141.96285714302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8A-8446-9F31-4BE07E3F074D}"/>
            </c:ext>
          </c:extLst>
        </c:ser>
        <c:ser>
          <c:idx val="2"/>
          <c:order val="2"/>
          <c:tx>
            <c:v>POWER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POLAND_GVA!$A$2:$A$35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POLAND_GVA!$I$2:$I$35</c:f>
              <c:numCache>
                <c:formatCode>General</c:formatCode>
                <c:ptCount val="34"/>
                <c:pt idx="0">
                  <c:v>335800.78676402185</c:v>
                </c:pt>
                <c:pt idx="1">
                  <c:v>376680.92613802</c:v>
                </c:pt>
                <c:pt idx="2">
                  <c:v>408669.76706277719</c:v>
                </c:pt>
                <c:pt idx="3">
                  <c:v>435341.44588188903</c:v>
                </c:pt>
                <c:pt idx="4">
                  <c:v>458420.9221939469</c:v>
                </c:pt>
                <c:pt idx="5">
                  <c:v>478886.34996917419</c:v>
                </c:pt>
                <c:pt idx="6">
                  <c:v>497351.36156339216</c:v>
                </c:pt>
                <c:pt idx="7">
                  <c:v>514228.7461476613</c:v>
                </c:pt>
                <c:pt idx="8">
                  <c:v>529810.81133186258</c:v>
                </c:pt>
                <c:pt idx="9">
                  <c:v>544312.86854381149</c:v>
                </c:pt>
                <c:pt idx="10">
                  <c:v>557898.54840737954</c:v>
                </c:pt>
                <c:pt idx="11">
                  <c:v>570695.40497642779</c:v>
                </c:pt>
                <c:pt idx="12">
                  <c:v>582804.98678216385</c:v>
                </c:pt>
                <c:pt idx="13">
                  <c:v>594309.58757897688</c:v>
                </c:pt>
                <c:pt idx="14">
                  <c:v>605276.91741621401</c:v>
                </c:pt>
                <c:pt idx="15">
                  <c:v>615763.42322725523</c:v>
                </c:pt>
                <c:pt idx="16">
                  <c:v>625816.70498832921</c:v>
                </c:pt>
                <c:pt idx="17">
                  <c:v>635477.30980404653</c:v>
                </c:pt>
                <c:pt idx="18">
                  <c:v>644780.08804216201</c:v>
                </c:pt>
                <c:pt idx="19">
                  <c:v>653755.23474646884</c:v>
                </c:pt>
                <c:pt idx="20">
                  <c:v>662429.10071973805</c:v>
                </c:pt>
                <c:pt idx="21">
                  <c:v>670824.83226647263</c:v>
                </c:pt>
                <c:pt idx="22">
                  <c:v>678962.88159242983</c:v>
                </c:pt>
                <c:pt idx="23">
                  <c:v>686861.41825854033</c:v>
                </c:pt>
                <c:pt idx="24">
                  <c:v>694536.66402339179</c:v>
                </c:pt>
                <c:pt idx="25">
                  <c:v>702003.16770938761</c:v>
                </c:pt>
                <c:pt idx="26">
                  <c:v>709274.03263847937</c:v>
                </c:pt>
                <c:pt idx="27">
                  <c:v>716361.10620838229</c:v>
                </c:pt>
                <c:pt idx="28">
                  <c:v>723275.13898814307</c:v>
                </c:pt>
                <c:pt idx="29">
                  <c:v>730025.91907773085</c:v>
                </c:pt>
                <c:pt idx="30">
                  <c:v>736622.38624469575</c:v>
                </c:pt>
                <c:pt idx="31">
                  <c:v>743072.72941333381</c:v>
                </c:pt>
                <c:pt idx="32">
                  <c:v>749384.4703612891</c:v>
                </c:pt>
                <c:pt idx="33">
                  <c:v>755564.5359199805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58A-8446-9F31-4BE07E3F074D}"/>
            </c:ext>
          </c:extLst>
        </c:ser>
        <c:ser>
          <c:idx val="3"/>
          <c:order val="3"/>
          <c:tx>
            <c:v>EXPONENTIAL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POLAND_GVA!$A$2:$A$35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POLAND_GVA!$J$2:$J$35</c:f>
              <c:numCache>
                <c:formatCode>General</c:formatCode>
                <c:ptCount val="34"/>
                <c:pt idx="0">
                  <c:v>407447.9584803122</c:v>
                </c:pt>
                <c:pt idx="1">
                  <c:v>416890.15692233865</c:v>
                </c:pt>
                <c:pt idx="2">
                  <c:v>426551.16885836516</c:v>
                </c:pt>
                <c:pt idx="3">
                  <c:v>436436.06507200917</c:v>
                </c:pt>
                <c:pt idx="4">
                  <c:v>446550.03385721747</c:v>
                </c:pt>
                <c:pt idx="5">
                  <c:v>456898.38374145725</c:v>
                </c:pt>
                <c:pt idx="6">
                  <c:v>467486.54627200065</c:v>
                </c:pt>
                <c:pt idx="7">
                  <c:v>478320.07886679232</c:v>
                </c:pt>
                <c:pt idx="8">
                  <c:v>489404.66773136967</c:v>
                </c:pt>
                <c:pt idx="9">
                  <c:v>500746.13084339281</c:v>
                </c:pt>
                <c:pt idx="10">
                  <c:v>512350.42100632493</c:v>
                </c:pt>
                <c:pt idx="11">
                  <c:v>524223.62897389231</c:v>
                </c:pt>
                <c:pt idx="12">
                  <c:v>536371.98664693616</c:v>
                </c:pt>
                <c:pt idx="13">
                  <c:v>548801.87034436304</c:v>
                </c:pt>
                <c:pt idx="14">
                  <c:v>561519.8041498817</c:v>
                </c:pt>
                <c:pt idx="15">
                  <c:v>574532.46333631175</c:v>
                </c:pt>
                <c:pt idx="16">
                  <c:v>587846.67786923202</c:v>
                </c:pt>
                <c:pt idx="17">
                  <c:v>601469.43599183892</c:v>
                </c:pt>
                <c:pt idx="18">
                  <c:v>615407.8878928629</c:v>
                </c:pt>
                <c:pt idx="19">
                  <c:v>629669.3494595025</c:v>
                </c:pt>
                <c:pt idx="20">
                  <c:v>644261.3061173124</c:v>
                </c:pt>
                <c:pt idx="21">
                  <c:v>659191.41675909329</c:v>
                </c:pt>
                <c:pt idx="22">
                  <c:v>674467.51776481268</c:v>
                </c:pt>
                <c:pt idx="23">
                  <c:v>690097.62711470167</c:v>
                </c:pt>
                <c:pt idx="24">
                  <c:v>706089.94859764981</c:v>
                </c:pt>
                <c:pt idx="25">
                  <c:v>722452.87611714413</c:v>
                </c:pt>
                <c:pt idx="26">
                  <c:v>739194.99809697457</c:v>
                </c:pt>
                <c:pt idx="27">
                  <c:v>756325.10198905773</c:v>
                </c:pt>
                <c:pt idx="28">
                  <c:v>773852.17888570414</c:v>
                </c:pt>
                <c:pt idx="29">
                  <c:v>791785.42823879037</c:v>
                </c:pt>
                <c:pt idx="30">
                  <c:v>810134.26268827438</c:v>
                </c:pt>
                <c:pt idx="31">
                  <c:v>828908.31300262024</c:v>
                </c:pt>
                <c:pt idx="32">
                  <c:v>848117.43313370971</c:v>
                </c:pt>
                <c:pt idx="33">
                  <c:v>867771.70538889267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58A-8446-9F31-4BE07E3F0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097504"/>
        <c:axId val="363099216"/>
      </c:lineChart>
      <c:catAx>
        <c:axId val="3630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63099216"/>
        <c:crosses val="autoZero"/>
        <c:auto val="1"/>
        <c:lblAlgn val="ctr"/>
        <c:lblOffset val="100"/>
        <c:noMultiLvlLbl val="0"/>
      </c:catAx>
      <c:valAx>
        <c:axId val="36309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6309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6350</xdr:colOff>
      <xdr:row>1</xdr:row>
      <xdr:rowOff>12700</xdr:rowOff>
    </xdr:from>
    <xdr:to>
      <xdr:col>24</xdr:col>
      <xdr:colOff>457200</xdr:colOff>
      <xdr:row>34</xdr:row>
      <xdr:rowOff>16510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F4E9D-8669-B9D7-9677-9C3C7E64C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A3025A9-4FBA-4F47-8408-E9476939A776}" autoFormatId="16" applyNumberFormats="0" applyBorderFormats="0" applyFontFormats="0" applyPatternFormats="0" applyAlignmentFormats="0" applyWidthHeightFormats="0">
  <queryTableRefresh nextId="11" unboundColumnsRight="4">
    <queryTableFields count="10">
      <queryTableField id="1" name="TIME" tableColumnId="1"/>
      <queryTableField id="2" name="YEAR" tableColumnId="2"/>
      <queryTableField id="3" name="QUARTER" tableColumnId="3"/>
      <queryTableField id="5" dataBound="0" tableColumnId="5"/>
      <queryTableField id="6" dataBound="0" tableColumnId="6"/>
      <queryTableField id="4" name="POLAND" tableColumnId="4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45A58B-819D-0142-A2A6-292E845E40F4}" name="gva_processed35" displayName="gva_processed35" ref="A1:J35" tableType="queryTable" totalsRowShown="0">
  <autoFilter ref="A1:J35" xr:uid="{8F45A58B-819D-0142-A2A6-292E845E40F4}"/>
  <tableColumns count="10">
    <tableColumn id="1" xr3:uid="{77843423-2B59-A44B-B900-36F51DAAB628}" uniqueName="1" name="YEAR_QUARTER" queryTableFieldId="1" dataDxfId="1"/>
    <tableColumn id="2" xr3:uid="{208A30CF-588D-D24B-9D8A-56867268C0B9}" uniqueName="2" name="YEAR" queryTableFieldId="2"/>
    <tableColumn id="3" xr3:uid="{2DFD4592-9FCF-D643-9AD0-26ADB0EEE143}" uniqueName="3" name="QUARTER" queryTableFieldId="3"/>
    <tableColumn id="5" xr3:uid="{1B4DB94D-10C9-B748-A38A-956C737AEE73}" uniqueName="5" name="TIME" queryTableFieldId="5" dataDxfId="0"/>
    <tableColumn id="6" xr3:uid="{9B0F48AA-9454-B344-9218-3976BDDE4DAC}" uniqueName="6" name="LN(TIME)" queryTableFieldId="6">
      <calculatedColumnFormula>LN(gva_processed35[[#This Row],[TIME]])</calculatedColumnFormula>
    </tableColumn>
    <tableColumn id="4" xr3:uid="{5951123D-C59C-3F4A-9A44-4B58C5C7DD95}" uniqueName="4" name="GVA" queryTableFieldId="4"/>
    <tableColumn id="7" xr3:uid="{A05E5258-1583-F74B-A095-8AF60BC33C41}" uniqueName="7" name="LN(GVA)" queryTableFieldId="7">
      <calculatedColumnFormula>LN(gva_processed35[[#This Row],[GVA]])</calculatedColumnFormula>
    </tableColumn>
    <tableColumn id="8" xr3:uid="{49272DBE-CBD4-A040-A41D-7DB0B2F8B123}" uniqueName="8" name="GVA_LINEAR" queryTableFieldId="8">
      <calculatedColumnFormula>DA_Tool_Linear!$B$17+DA_Tool_Linear!$B$18*gva_processed35[[#This Row],[TIME]]</calculatedColumnFormula>
    </tableColumn>
    <tableColumn id="9" xr3:uid="{078DCA72-0AE6-0C42-8C39-81BF12F1B2B0}" uniqueName="9" name="GVA_POWER" queryTableFieldId="9">
      <calculatedColumnFormula>EXP(DA_Tool_Power!$B$17)*gva_processed35[[#This Row],[TIME]]^DA_Tool_Power!$B$18</calculatedColumnFormula>
    </tableColumn>
    <tableColumn id="10" xr3:uid="{0343FC49-01C0-FF4E-A6BA-2BAE5F1BAC93}" uniqueName="10" name="GVA_EXPONENTIAL" queryTableFieldId="10">
      <calculatedColumnFormula>EXP(DA_Tool_Exponential!$B$17+DA_Tool_Exponential!$B$18*gva_processed35[[#This Row],[TIME]])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9E18-9455-D344-9F57-651A3C3B714E}">
  <dimension ref="A1:J35"/>
  <sheetViews>
    <sheetView zoomScaleNormal="100" workbookViewId="0">
      <selection activeCell="I26" sqref="I26"/>
    </sheetView>
  </sheetViews>
  <sheetFormatPr baseColWidth="10" defaultRowHeight="16" x14ac:dyDescent="0.2"/>
  <cols>
    <col min="4" max="4" width="10.83203125" style="19"/>
  </cols>
  <sheetData>
    <row r="1" spans="1:10" x14ac:dyDescent="0.2">
      <c r="A1" t="s">
        <v>38</v>
      </c>
      <c r="B1" t="s">
        <v>1</v>
      </c>
      <c r="C1" t="s">
        <v>2</v>
      </c>
      <c r="D1" s="19" t="s">
        <v>0</v>
      </c>
      <c r="E1" t="s">
        <v>79</v>
      </c>
      <c r="F1" t="s">
        <v>37</v>
      </c>
      <c r="G1" t="s">
        <v>80</v>
      </c>
      <c r="H1" t="s">
        <v>81</v>
      </c>
      <c r="I1" t="s">
        <v>82</v>
      </c>
      <c r="J1" t="s">
        <v>83</v>
      </c>
    </row>
    <row r="2" spans="1:10" x14ac:dyDescent="0.2">
      <c r="A2" t="s">
        <v>3</v>
      </c>
      <c r="B2">
        <v>2017</v>
      </c>
      <c r="C2">
        <v>1</v>
      </c>
      <c r="D2" s="19">
        <v>2</v>
      </c>
      <c r="E2">
        <f>LN(gva_processed35[[#This Row],[TIME]])</f>
        <v>0.69314718055994529</v>
      </c>
      <c r="F2">
        <v>411240.3</v>
      </c>
      <c r="G2">
        <f>LN(gva_processed35[[#This Row],[GVA]])</f>
        <v>12.92693299415741</v>
      </c>
      <c r="H2">
        <f>DA_Tool_Linear!$B$17+DA_Tool_Linear!$B$18*gva_processed35[[#This Row],[TIME]]</f>
        <v>380427.55478991603</v>
      </c>
      <c r="I2">
        <f>EXP(DA_Tool_Power!$B$17)*gva_processed35[[#This Row],[TIME]]^DA_Tool_Power!$B$18</f>
        <v>335800.78676402185</v>
      </c>
      <c r="J2">
        <f>EXP(DA_Tool_Exponential!$B$17+DA_Tool_Exponential!$B$18*gva_processed35[[#This Row],[TIME]])</f>
        <v>407447.9584803122</v>
      </c>
    </row>
    <row r="3" spans="1:10" x14ac:dyDescent="0.2">
      <c r="A3" t="s">
        <v>4</v>
      </c>
      <c r="B3">
        <v>2017</v>
      </c>
      <c r="C3">
        <v>2</v>
      </c>
      <c r="D3" s="19">
        <v>3</v>
      </c>
      <c r="E3">
        <f>LN(gva_processed35[[#This Row],[TIME]])</f>
        <v>1.0986122886681098</v>
      </c>
      <c r="F3">
        <v>421998</v>
      </c>
      <c r="G3">
        <f>LN(gva_processed35[[#This Row],[GVA]])</f>
        <v>12.952755853670425</v>
      </c>
      <c r="H3">
        <f>DA_Tool_Linear!$B$17+DA_Tool_Linear!$B$18*gva_processed35[[#This Row],[TIME]]</f>
        <v>394418.90048892295</v>
      </c>
      <c r="I3">
        <f>EXP(DA_Tool_Power!$B$17)*gva_processed35[[#This Row],[TIME]]^DA_Tool_Power!$B$18</f>
        <v>376680.92613802</v>
      </c>
      <c r="J3">
        <f>EXP(DA_Tool_Exponential!$B$17+DA_Tool_Exponential!$B$18*gva_processed35[[#This Row],[TIME]])</f>
        <v>416890.15692233865</v>
      </c>
    </row>
    <row r="4" spans="1:10" x14ac:dyDescent="0.2">
      <c r="A4" t="s">
        <v>5</v>
      </c>
      <c r="B4">
        <v>2017</v>
      </c>
      <c r="C4">
        <v>3</v>
      </c>
      <c r="D4" s="19">
        <v>4</v>
      </c>
      <c r="E4">
        <f>LN(gva_processed35[[#This Row],[TIME]])</f>
        <v>1.3862943611198906</v>
      </c>
      <c r="F4">
        <v>430320.3</v>
      </c>
      <c r="G4">
        <f>LN(gva_processed35[[#This Row],[GVA]])</f>
        <v>12.972285094102487</v>
      </c>
      <c r="H4">
        <f>DA_Tool_Linear!$B$17+DA_Tool_Linear!$B$18*gva_processed35[[#This Row],[TIME]]</f>
        <v>408410.24618792982</v>
      </c>
      <c r="I4">
        <f>EXP(DA_Tool_Power!$B$17)*gva_processed35[[#This Row],[TIME]]^DA_Tool_Power!$B$18</f>
        <v>408669.76706277719</v>
      </c>
      <c r="J4">
        <f>EXP(DA_Tool_Exponential!$B$17+DA_Tool_Exponential!$B$18*gva_processed35[[#This Row],[TIME]])</f>
        <v>426551.16885836516</v>
      </c>
    </row>
    <row r="5" spans="1:10" x14ac:dyDescent="0.2">
      <c r="A5" t="s">
        <v>6</v>
      </c>
      <c r="B5">
        <v>2017</v>
      </c>
      <c r="C5">
        <v>4</v>
      </c>
      <c r="D5" s="19">
        <v>5</v>
      </c>
      <c r="E5">
        <f>LN(gva_processed35[[#This Row],[TIME]])</f>
        <v>1.6094379124341003</v>
      </c>
      <c r="F5">
        <v>490967.8</v>
      </c>
      <c r="G5">
        <f>LN(gva_processed35[[#This Row],[GVA]])</f>
        <v>13.104133824178101</v>
      </c>
      <c r="H5">
        <f>DA_Tool_Linear!$B$17+DA_Tool_Linear!$B$18*gva_processed35[[#This Row],[TIME]]</f>
        <v>422401.59188693669</v>
      </c>
      <c r="I5">
        <f>EXP(DA_Tool_Power!$B$17)*gva_processed35[[#This Row],[TIME]]^DA_Tool_Power!$B$18</f>
        <v>435341.44588188903</v>
      </c>
      <c r="J5">
        <f>EXP(DA_Tool_Exponential!$B$17+DA_Tool_Exponential!$B$18*gva_processed35[[#This Row],[TIME]])</f>
        <v>436436.06507200917</v>
      </c>
    </row>
    <row r="6" spans="1:10" x14ac:dyDescent="0.2">
      <c r="A6" t="s">
        <v>7</v>
      </c>
      <c r="B6">
        <v>2018</v>
      </c>
      <c r="C6">
        <v>1</v>
      </c>
      <c r="D6" s="19">
        <v>6</v>
      </c>
      <c r="E6">
        <f>LN(gva_processed35[[#This Row],[TIME]])</f>
        <v>1.791759469228055</v>
      </c>
      <c r="F6">
        <v>439707.9</v>
      </c>
      <c r="G6">
        <f>LN(gva_processed35[[#This Row],[GVA]])</f>
        <v>12.993865921803042</v>
      </c>
      <c r="H6">
        <f>DA_Tool_Linear!$B$17+DA_Tool_Linear!$B$18*gva_processed35[[#This Row],[TIME]]</f>
        <v>436392.93758594355</v>
      </c>
      <c r="I6">
        <f>EXP(DA_Tool_Power!$B$17)*gva_processed35[[#This Row],[TIME]]^DA_Tool_Power!$B$18</f>
        <v>458420.9221939469</v>
      </c>
      <c r="J6">
        <f>EXP(DA_Tool_Exponential!$B$17+DA_Tool_Exponential!$B$18*gva_processed35[[#This Row],[TIME]])</f>
        <v>446550.03385721747</v>
      </c>
    </row>
    <row r="7" spans="1:10" x14ac:dyDescent="0.2">
      <c r="A7" t="s">
        <v>8</v>
      </c>
      <c r="B7">
        <v>2018</v>
      </c>
      <c r="C7">
        <v>2</v>
      </c>
      <c r="D7" s="19">
        <v>7</v>
      </c>
      <c r="E7">
        <f>LN(gva_processed35[[#This Row],[TIME]])</f>
        <v>1.9459101490553132</v>
      </c>
      <c r="F7">
        <v>452196.1</v>
      </c>
      <c r="G7">
        <f>LN(gva_processed35[[#This Row],[GVA]])</f>
        <v>13.021871214286383</v>
      </c>
      <c r="H7">
        <f>DA_Tool_Linear!$B$17+DA_Tool_Linear!$B$18*gva_processed35[[#This Row],[TIME]]</f>
        <v>450384.28328495042</v>
      </c>
      <c r="I7">
        <f>EXP(DA_Tool_Power!$B$17)*gva_processed35[[#This Row],[TIME]]^DA_Tool_Power!$B$18</f>
        <v>478886.34996917419</v>
      </c>
      <c r="J7">
        <f>EXP(DA_Tool_Exponential!$B$17+DA_Tool_Exponential!$B$18*gva_processed35[[#This Row],[TIME]])</f>
        <v>456898.38374145725</v>
      </c>
    </row>
    <row r="8" spans="1:10" x14ac:dyDescent="0.2">
      <c r="A8" t="s">
        <v>9</v>
      </c>
      <c r="B8">
        <v>2018</v>
      </c>
      <c r="C8">
        <v>3</v>
      </c>
      <c r="D8" s="19">
        <v>8</v>
      </c>
      <c r="E8">
        <f>LN(gva_processed35[[#This Row],[TIME]])</f>
        <v>2.0794415416798357</v>
      </c>
      <c r="F8">
        <v>464846.4</v>
      </c>
      <c r="G8">
        <f>LN(gva_processed35[[#This Row],[GVA]])</f>
        <v>13.049462307420328</v>
      </c>
      <c r="H8">
        <f>DA_Tool_Linear!$B$17+DA_Tool_Linear!$B$18*gva_processed35[[#This Row],[TIME]]</f>
        <v>464375.62898395734</v>
      </c>
      <c r="I8">
        <f>EXP(DA_Tool_Power!$B$17)*gva_processed35[[#This Row],[TIME]]^DA_Tool_Power!$B$18</f>
        <v>497351.36156339216</v>
      </c>
      <c r="J8">
        <f>EXP(DA_Tool_Exponential!$B$17+DA_Tool_Exponential!$B$18*gva_processed35[[#This Row],[TIME]])</f>
        <v>467486.54627200065</v>
      </c>
    </row>
    <row r="9" spans="1:10" x14ac:dyDescent="0.2">
      <c r="A9" t="s">
        <v>10</v>
      </c>
      <c r="B9">
        <v>2018</v>
      </c>
      <c r="C9">
        <v>4</v>
      </c>
      <c r="D9" s="19">
        <v>9</v>
      </c>
      <c r="E9">
        <f>LN(gva_processed35[[#This Row],[TIME]])</f>
        <v>2.1972245773362196</v>
      </c>
      <c r="F9">
        <v>526763.69999999995</v>
      </c>
      <c r="G9">
        <f>LN(gva_processed35[[#This Row],[GVA]])</f>
        <v>13.174507339871171</v>
      </c>
      <c r="H9">
        <f>DA_Tool_Linear!$B$17+DA_Tool_Linear!$B$18*gva_processed35[[#This Row],[TIME]]</f>
        <v>478366.97468296421</v>
      </c>
      <c r="I9">
        <f>EXP(DA_Tool_Power!$B$17)*gva_processed35[[#This Row],[TIME]]^DA_Tool_Power!$B$18</f>
        <v>514228.7461476613</v>
      </c>
      <c r="J9">
        <f>EXP(DA_Tool_Exponential!$B$17+DA_Tool_Exponential!$B$18*gva_processed35[[#This Row],[TIME]])</f>
        <v>478320.07886679232</v>
      </c>
    </row>
    <row r="10" spans="1:10" x14ac:dyDescent="0.2">
      <c r="A10" t="s">
        <v>11</v>
      </c>
      <c r="B10">
        <v>2019</v>
      </c>
      <c r="C10">
        <v>1</v>
      </c>
      <c r="D10" s="19">
        <v>10</v>
      </c>
      <c r="E10">
        <f>LN(gva_processed35[[#This Row],[TIME]])</f>
        <v>2.3025850929940459</v>
      </c>
      <c r="F10">
        <v>474780.8</v>
      </c>
      <c r="G10">
        <f>LN(gva_processed35[[#This Row],[GVA]])</f>
        <v>13.070608502820818</v>
      </c>
      <c r="H10">
        <f>DA_Tool_Linear!$B$17+DA_Tool_Linear!$B$18*gva_processed35[[#This Row],[TIME]]</f>
        <v>492358.32038197108</v>
      </c>
      <c r="I10">
        <f>EXP(DA_Tool_Power!$B$17)*gva_processed35[[#This Row],[TIME]]^DA_Tool_Power!$B$18</f>
        <v>529810.81133186258</v>
      </c>
      <c r="J10">
        <f>EXP(DA_Tool_Exponential!$B$17+DA_Tool_Exponential!$B$18*gva_processed35[[#This Row],[TIME]])</f>
        <v>489404.66773136967</v>
      </c>
    </row>
    <row r="11" spans="1:10" x14ac:dyDescent="0.2">
      <c r="A11" t="s">
        <v>12</v>
      </c>
      <c r="B11">
        <v>2019</v>
      </c>
      <c r="C11">
        <v>2</v>
      </c>
      <c r="D11" s="19">
        <v>11</v>
      </c>
      <c r="E11">
        <f>LN(gva_processed35[[#This Row],[TIME]])</f>
        <v>2.3978952727983707</v>
      </c>
      <c r="F11">
        <v>489456.2</v>
      </c>
      <c r="G11">
        <f>LN(gva_processed35[[#This Row],[GVA]])</f>
        <v>13.101050257888947</v>
      </c>
      <c r="H11">
        <f>DA_Tool_Linear!$B$17+DA_Tool_Linear!$B$18*gva_processed35[[#This Row],[TIME]]</f>
        <v>506349.666080978</v>
      </c>
      <c r="I11">
        <f>EXP(DA_Tool_Power!$B$17)*gva_processed35[[#This Row],[TIME]]^DA_Tool_Power!$B$18</f>
        <v>544312.86854381149</v>
      </c>
      <c r="J11">
        <f>EXP(DA_Tool_Exponential!$B$17+DA_Tool_Exponential!$B$18*gva_processed35[[#This Row],[TIME]])</f>
        <v>500746.13084339281</v>
      </c>
    </row>
    <row r="12" spans="1:10" x14ac:dyDescent="0.2">
      <c r="A12" t="s">
        <v>13</v>
      </c>
      <c r="B12">
        <v>2019</v>
      </c>
      <c r="C12">
        <v>3</v>
      </c>
      <c r="D12" s="19">
        <v>12</v>
      </c>
      <c r="E12">
        <f>LN(gva_processed35[[#This Row],[TIME]])</f>
        <v>2.4849066497880004</v>
      </c>
      <c r="F12">
        <v>503638.8</v>
      </c>
      <c r="G12">
        <f>LN(gva_processed35[[#This Row],[GVA]])</f>
        <v>13.129614623458522</v>
      </c>
      <c r="H12">
        <f>DA_Tool_Linear!$B$17+DA_Tool_Linear!$B$18*gva_processed35[[#This Row],[TIME]]</f>
        <v>520341.01177998481</v>
      </c>
      <c r="I12">
        <f>EXP(DA_Tool_Power!$B$17)*gva_processed35[[#This Row],[TIME]]^DA_Tool_Power!$B$18</f>
        <v>557898.54840737954</v>
      </c>
      <c r="J12">
        <f>EXP(DA_Tool_Exponential!$B$17+DA_Tool_Exponential!$B$18*gva_processed35[[#This Row],[TIME]])</f>
        <v>512350.42100632493</v>
      </c>
    </row>
    <row r="13" spans="1:10" x14ac:dyDescent="0.2">
      <c r="A13" t="s">
        <v>14</v>
      </c>
      <c r="B13">
        <v>2019</v>
      </c>
      <c r="C13">
        <v>4</v>
      </c>
      <c r="D13" s="19">
        <v>13</v>
      </c>
      <c r="E13">
        <f>LN(gva_processed35[[#This Row],[TIME]])</f>
        <v>2.5649493574615367</v>
      </c>
      <c r="F13">
        <v>568995.69999999995</v>
      </c>
      <c r="G13">
        <f>LN(gva_processed35[[#This Row],[GVA]])</f>
        <v>13.251628155962162</v>
      </c>
      <c r="H13">
        <f>DA_Tool_Linear!$B$17+DA_Tool_Linear!$B$18*gva_processed35[[#This Row],[TIME]]</f>
        <v>534332.35747899173</v>
      </c>
      <c r="I13">
        <f>EXP(DA_Tool_Power!$B$17)*gva_processed35[[#This Row],[TIME]]^DA_Tool_Power!$B$18</f>
        <v>570695.40497642779</v>
      </c>
      <c r="J13">
        <f>EXP(DA_Tool_Exponential!$B$17+DA_Tool_Exponential!$B$18*gva_processed35[[#This Row],[TIME]])</f>
        <v>524223.62897389231</v>
      </c>
    </row>
    <row r="14" spans="1:10" x14ac:dyDescent="0.2">
      <c r="A14" t="s">
        <v>15</v>
      </c>
      <c r="B14">
        <v>2020</v>
      </c>
      <c r="C14">
        <v>1</v>
      </c>
      <c r="D14" s="19">
        <v>14</v>
      </c>
      <c r="E14">
        <f>LN(gva_processed35[[#This Row],[TIME]])</f>
        <v>2.6390573296152584</v>
      </c>
      <c r="F14">
        <v>509709.5</v>
      </c>
      <c r="G14">
        <f>LN(gva_processed35[[#This Row],[GVA]])</f>
        <v>13.141596234569194</v>
      </c>
      <c r="H14">
        <f>DA_Tool_Linear!$B$17+DA_Tool_Linear!$B$18*gva_processed35[[#This Row],[TIME]]</f>
        <v>548323.70317799854</v>
      </c>
      <c r="I14">
        <f>EXP(DA_Tool_Power!$B$17)*gva_processed35[[#This Row],[TIME]]^DA_Tool_Power!$B$18</f>
        <v>582804.98678216385</v>
      </c>
      <c r="J14">
        <f>EXP(DA_Tool_Exponential!$B$17+DA_Tool_Exponential!$B$18*gva_processed35[[#This Row],[TIME]])</f>
        <v>536371.98664693616</v>
      </c>
    </row>
    <row r="15" spans="1:10" x14ac:dyDescent="0.2">
      <c r="A15" t="s">
        <v>16</v>
      </c>
      <c r="B15">
        <v>2020</v>
      </c>
      <c r="C15">
        <v>2</v>
      </c>
      <c r="D15" s="19">
        <v>15</v>
      </c>
      <c r="E15">
        <f>LN(gva_processed35[[#This Row],[TIME]])</f>
        <v>2.7080502011022101</v>
      </c>
      <c r="F15">
        <v>473153.3</v>
      </c>
      <c r="G15">
        <f>LN(gva_processed35[[#This Row],[GVA]])</f>
        <v>13.067174716444447</v>
      </c>
      <c r="H15">
        <f>DA_Tool_Linear!$B$17+DA_Tool_Linear!$B$18*gva_processed35[[#This Row],[TIME]]</f>
        <v>562315.04887700547</v>
      </c>
      <c r="I15">
        <f>EXP(DA_Tool_Power!$B$17)*gva_processed35[[#This Row],[TIME]]^DA_Tool_Power!$B$18</f>
        <v>594309.58757897688</v>
      </c>
      <c r="J15">
        <f>EXP(DA_Tool_Exponential!$B$17+DA_Tool_Exponential!$B$18*gva_processed35[[#This Row],[TIME]])</f>
        <v>548801.87034436304</v>
      </c>
    </row>
    <row r="16" spans="1:10" x14ac:dyDescent="0.2">
      <c r="A16" t="s">
        <v>17</v>
      </c>
      <c r="B16">
        <v>2020</v>
      </c>
      <c r="C16">
        <v>3</v>
      </c>
      <c r="D16" s="19">
        <v>16</v>
      </c>
      <c r="E16">
        <f>LN(gva_processed35[[#This Row],[TIME]])</f>
        <v>2.7725887222397811</v>
      </c>
      <c r="F16">
        <v>517385.4</v>
      </c>
      <c r="G16">
        <f>LN(gva_processed35[[#This Row],[GVA]])</f>
        <v>13.156543330322787</v>
      </c>
      <c r="H16">
        <f>DA_Tool_Linear!$B$17+DA_Tool_Linear!$B$18*gva_processed35[[#This Row],[TIME]]</f>
        <v>576306.39457601239</v>
      </c>
      <c r="I16">
        <f>EXP(DA_Tool_Power!$B$17)*gva_processed35[[#This Row],[TIME]]^DA_Tool_Power!$B$18</f>
        <v>605276.91741621401</v>
      </c>
      <c r="J16">
        <f>EXP(DA_Tool_Exponential!$B$17+DA_Tool_Exponential!$B$18*gva_processed35[[#This Row],[TIME]])</f>
        <v>561519.8041498817</v>
      </c>
    </row>
    <row r="17" spans="1:10" x14ac:dyDescent="0.2">
      <c r="A17" t="s">
        <v>18</v>
      </c>
      <c r="B17">
        <v>2020</v>
      </c>
      <c r="C17">
        <v>4</v>
      </c>
      <c r="D17" s="19">
        <v>17</v>
      </c>
      <c r="E17">
        <f>LN(gva_processed35[[#This Row],[TIME]])</f>
        <v>2.8332133440562162</v>
      </c>
      <c r="F17">
        <v>584580.9</v>
      </c>
      <c r="G17">
        <f>LN(gva_processed35[[#This Row],[GVA]])</f>
        <v>13.278650459213125</v>
      </c>
      <c r="H17">
        <f>DA_Tool_Linear!$B$17+DA_Tool_Linear!$B$18*gva_processed35[[#This Row],[TIME]]</f>
        <v>590297.7402750192</v>
      </c>
      <c r="I17">
        <f>EXP(DA_Tool_Power!$B$17)*gva_processed35[[#This Row],[TIME]]^DA_Tool_Power!$B$18</f>
        <v>615763.42322725523</v>
      </c>
      <c r="J17">
        <f>EXP(DA_Tool_Exponential!$B$17+DA_Tool_Exponential!$B$18*gva_processed35[[#This Row],[TIME]])</f>
        <v>574532.46333631175</v>
      </c>
    </row>
    <row r="18" spans="1:10" x14ac:dyDescent="0.2">
      <c r="A18" t="s">
        <v>19</v>
      </c>
      <c r="B18">
        <v>2021</v>
      </c>
      <c r="C18">
        <v>1</v>
      </c>
      <c r="D18" s="19">
        <v>18</v>
      </c>
      <c r="E18">
        <f>LN(gva_processed35[[#This Row],[TIME]])</f>
        <v>2.8903717578961645</v>
      </c>
      <c r="F18">
        <v>531027.4</v>
      </c>
      <c r="G18">
        <f>LN(gva_processed35[[#This Row],[GVA]])</f>
        <v>13.182568899646098</v>
      </c>
      <c r="H18">
        <f>DA_Tool_Linear!$B$17+DA_Tool_Linear!$B$18*gva_processed35[[#This Row],[TIME]]</f>
        <v>604289.08597402612</v>
      </c>
      <c r="I18">
        <f>EXP(DA_Tool_Power!$B$17)*gva_processed35[[#This Row],[TIME]]^DA_Tool_Power!$B$18</f>
        <v>625816.70498832921</v>
      </c>
      <c r="J18">
        <f>EXP(DA_Tool_Exponential!$B$17+DA_Tool_Exponential!$B$18*gva_processed35[[#This Row],[TIME]])</f>
        <v>587846.67786923202</v>
      </c>
    </row>
    <row r="19" spans="1:10" x14ac:dyDescent="0.2">
      <c r="A19" t="s">
        <v>20</v>
      </c>
      <c r="B19">
        <v>2021</v>
      </c>
      <c r="C19">
        <v>2</v>
      </c>
      <c r="D19" s="19">
        <v>19</v>
      </c>
      <c r="E19">
        <f>LN(gva_processed35[[#This Row],[TIME]])</f>
        <v>2.9444389791664403</v>
      </c>
      <c r="F19">
        <v>548448.69999999995</v>
      </c>
      <c r="G19">
        <f>LN(gva_processed35[[#This Row],[GVA]])</f>
        <v>13.214849026520325</v>
      </c>
      <c r="H19">
        <f>DA_Tool_Linear!$B$17+DA_Tool_Linear!$B$18*gva_processed35[[#This Row],[TIME]]</f>
        <v>618280.43167303293</v>
      </c>
      <c r="I19">
        <f>EXP(DA_Tool_Power!$B$17)*gva_processed35[[#This Row],[TIME]]^DA_Tool_Power!$B$18</f>
        <v>635477.30980404653</v>
      </c>
      <c r="J19">
        <f>EXP(DA_Tool_Exponential!$B$17+DA_Tool_Exponential!$B$18*gva_processed35[[#This Row],[TIME]])</f>
        <v>601469.43599183892</v>
      </c>
    </row>
    <row r="20" spans="1:10" x14ac:dyDescent="0.2">
      <c r="A20" t="s">
        <v>21</v>
      </c>
      <c r="B20">
        <v>2021</v>
      </c>
      <c r="C20">
        <v>3</v>
      </c>
      <c r="D20" s="19">
        <v>20</v>
      </c>
      <c r="E20">
        <f>LN(gva_processed35[[#This Row],[TIME]])</f>
        <v>2.9957322735539909</v>
      </c>
      <c r="F20">
        <v>585019.9</v>
      </c>
      <c r="G20">
        <f>LN(gva_processed35[[#This Row],[GVA]])</f>
        <v>13.279401142729442</v>
      </c>
      <c r="H20">
        <f>DA_Tool_Linear!$B$17+DA_Tool_Linear!$B$18*gva_processed35[[#This Row],[TIME]]</f>
        <v>632271.77737203985</v>
      </c>
      <c r="I20">
        <f>EXP(DA_Tool_Power!$B$17)*gva_processed35[[#This Row],[TIME]]^DA_Tool_Power!$B$18</f>
        <v>644780.08804216201</v>
      </c>
      <c r="J20">
        <f>EXP(DA_Tool_Exponential!$B$17+DA_Tool_Exponential!$B$18*gva_processed35[[#This Row],[TIME]])</f>
        <v>615407.8878928629</v>
      </c>
    </row>
    <row r="21" spans="1:10" x14ac:dyDescent="0.2">
      <c r="A21" t="s">
        <v>22</v>
      </c>
      <c r="B21">
        <v>2021</v>
      </c>
      <c r="C21">
        <v>4</v>
      </c>
      <c r="D21" s="19">
        <v>21</v>
      </c>
      <c r="E21">
        <f>LN(gva_processed35[[#This Row],[TIME]])</f>
        <v>3.044522437723423</v>
      </c>
      <c r="F21">
        <v>655913.69999999995</v>
      </c>
      <c r="G21">
        <f>LN(gva_processed35[[#This Row],[GVA]])</f>
        <v>13.393784504394075</v>
      </c>
      <c r="H21">
        <f>DA_Tool_Linear!$B$17+DA_Tool_Linear!$B$18*gva_processed35[[#This Row],[TIME]]</f>
        <v>646263.12307104678</v>
      </c>
      <c r="I21">
        <f>EXP(DA_Tool_Power!$B$17)*gva_processed35[[#This Row],[TIME]]^DA_Tool_Power!$B$18</f>
        <v>653755.23474646884</v>
      </c>
      <c r="J21">
        <f>EXP(DA_Tool_Exponential!$B$17+DA_Tool_Exponential!$B$18*gva_processed35[[#This Row],[TIME]])</f>
        <v>629669.3494595025</v>
      </c>
    </row>
    <row r="22" spans="1:10" x14ac:dyDescent="0.2">
      <c r="A22" t="s">
        <v>23</v>
      </c>
      <c r="B22">
        <v>2022</v>
      </c>
      <c r="C22">
        <v>1</v>
      </c>
      <c r="D22" s="19">
        <v>22</v>
      </c>
      <c r="E22">
        <f>LN(gva_processed35[[#This Row],[TIME]])</f>
        <v>3.0910424533583161</v>
      </c>
      <c r="F22">
        <v>622993.80000000005</v>
      </c>
      <c r="G22">
        <f>LN(gva_processed35[[#This Row],[GVA]])</f>
        <v>13.342291845874163</v>
      </c>
      <c r="H22">
        <f>DA_Tool_Linear!$B$17+DA_Tool_Linear!$B$18*gva_processed35[[#This Row],[TIME]]</f>
        <v>660254.4687700537</v>
      </c>
      <c r="I22">
        <f>EXP(DA_Tool_Power!$B$17)*gva_processed35[[#This Row],[TIME]]^DA_Tool_Power!$B$18</f>
        <v>662429.10071973805</v>
      </c>
      <c r="J22">
        <f>EXP(DA_Tool_Exponential!$B$17+DA_Tool_Exponential!$B$18*gva_processed35[[#This Row],[TIME]])</f>
        <v>644261.3061173124</v>
      </c>
    </row>
    <row r="23" spans="1:10" x14ac:dyDescent="0.2">
      <c r="A23" t="s">
        <v>24</v>
      </c>
      <c r="B23">
        <v>2022</v>
      </c>
      <c r="C23">
        <v>2</v>
      </c>
      <c r="D23" s="19">
        <v>23</v>
      </c>
      <c r="E23">
        <f>LN(gva_processed35[[#This Row],[TIME]])</f>
        <v>3.1354942159291497</v>
      </c>
      <c r="F23">
        <v>647440.69999999995</v>
      </c>
      <c r="G23">
        <f>LN(gva_processed35[[#This Row],[GVA]])</f>
        <v>13.380782485350267</v>
      </c>
      <c r="H23">
        <f>DA_Tool_Linear!$B$17+DA_Tool_Linear!$B$18*gva_processed35[[#This Row],[TIME]]</f>
        <v>674245.81446906051</v>
      </c>
      <c r="I23">
        <f>EXP(DA_Tool_Power!$B$17)*gva_processed35[[#This Row],[TIME]]^DA_Tool_Power!$B$18</f>
        <v>670824.83226647263</v>
      </c>
      <c r="J23">
        <f>EXP(DA_Tool_Exponential!$B$17+DA_Tool_Exponential!$B$18*gva_processed35[[#This Row],[TIME]])</f>
        <v>659191.41675909329</v>
      </c>
    </row>
    <row r="24" spans="1:10" x14ac:dyDescent="0.2">
      <c r="A24" t="s">
        <v>25</v>
      </c>
      <c r="B24">
        <v>2022</v>
      </c>
      <c r="C24">
        <v>3</v>
      </c>
      <c r="D24" s="19">
        <v>24</v>
      </c>
      <c r="E24">
        <f>LN(gva_processed35[[#This Row],[TIME]])</f>
        <v>3.1780538303479458</v>
      </c>
      <c r="F24">
        <v>702235</v>
      </c>
      <c r="G24">
        <f>LN(gva_processed35[[#This Row],[GVA]])</f>
        <v>13.462023384823803</v>
      </c>
      <c r="H24">
        <f>DA_Tool_Linear!$B$17+DA_Tool_Linear!$B$18*gva_processed35[[#This Row],[TIME]]</f>
        <v>688237.16016806732</v>
      </c>
      <c r="I24">
        <f>EXP(DA_Tool_Power!$B$17)*gva_processed35[[#This Row],[TIME]]^DA_Tool_Power!$B$18</f>
        <v>678962.88159242983</v>
      </c>
      <c r="J24">
        <f>EXP(DA_Tool_Exponential!$B$17+DA_Tool_Exponential!$B$18*gva_processed35[[#This Row],[TIME]])</f>
        <v>674467.51776481268</v>
      </c>
    </row>
    <row r="25" spans="1:10" x14ac:dyDescent="0.2">
      <c r="A25" t="s">
        <v>26</v>
      </c>
      <c r="B25">
        <v>2022</v>
      </c>
      <c r="C25">
        <v>4</v>
      </c>
      <c r="D25" s="19">
        <v>25</v>
      </c>
      <c r="E25">
        <f>LN(gva_processed35[[#This Row],[TIME]])</f>
        <v>3.2188758248682006</v>
      </c>
      <c r="F25">
        <v>793577</v>
      </c>
      <c r="G25">
        <f>LN(gva_processed35[[#This Row],[GVA]])</f>
        <v>13.584305852677979</v>
      </c>
      <c r="H25">
        <f>DA_Tool_Linear!$B$17+DA_Tool_Linear!$B$18*gva_processed35[[#This Row],[TIME]]</f>
        <v>702228.50586707424</v>
      </c>
      <c r="I25">
        <f>EXP(DA_Tool_Power!$B$17)*gva_processed35[[#This Row],[TIME]]^DA_Tool_Power!$B$18</f>
        <v>686861.41825854033</v>
      </c>
      <c r="J25">
        <f>EXP(DA_Tool_Exponential!$B$17+DA_Tool_Exponential!$B$18*gva_processed35[[#This Row],[TIME]])</f>
        <v>690097.62711470167</v>
      </c>
    </row>
    <row r="26" spans="1:10" x14ac:dyDescent="0.2">
      <c r="A26" t="s">
        <v>27</v>
      </c>
      <c r="B26">
        <v>2023</v>
      </c>
      <c r="C26">
        <v>1</v>
      </c>
      <c r="D26" s="19">
        <v>26</v>
      </c>
      <c r="E26">
        <f>LN(gva_processed35[[#This Row],[TIME]])</f>
        <v>3.2580965380214821</v>
      </c>
      <c r="F26">
        <v>722500.8</v>
      </c>
      <c r="G26">
        <f>LN(gva_processed35[[#This Row],[GVA]])</f>
        <v>13.490473806234547</v>
      </c>
      <c r="H26">
        <f>DA_Tool_Linear!$B$17+DA_Tool_Linear!$B$18*gva_processed35[[#This Row],[TIME]]</f>
        <v>716219.85156608117</v>
      </c>
      <c r="I26">
        <f>EXP(DA_Tool_Power!$B$17)*gva_processed35[[#This Row],[TIME]]^DA_Tool_Power!$B$18</f>
        <v>694536.66402339179</v>
      </c>
      <c r="J26">
        <f>EXP(DA_Tool_Exponential!$B$17+DA_Tool_Exponential!$B$18*gva_processed35[[#This Row],[TIME]])</f>
        <v>706089.94859764981</v>
      </c>
    </row>
    <row r="27" spans="1:10" x14ac:dyDescent="0.2">
      <c r="A27" t="s">
        <v>28</v>
      </c>
      <c r="B27">
        <v>2023</v>
      </c>
      <c r="C27">
        <v>2</v>
      </c>
      <c r="D27" s="19">
        <v>27</v>
      </c>
      <c r="E27">
        <f>LN(gva_processed35[[#This Row],[TIME]])</f>
        <v>3.2958368660043291</v>
      </c>
      <c r="F27">
        <v>744773.4</v>
      </c>
      <c r="G27">
        <f>LN(gva_processed35[[#This Row],[GVA]])</f>
        <v>13.520835290021509</v>
      </c>
      <c r="H27">
        <f>DA_Tool_Linear!$B$17+DA_Tool_Linear!$B$18*gva_processed35[[#This Row],[TIME]]</f>
        <v>730211.19726508809</v>
      </c>
      <c r="I27">
        <f>EXP(DA_Tool_Power!$B$17)*gva_processed35[[#This Row],[TIME]]^DA_Tool_Power!$B$18</f>
        <v>702003.16770938761</v>
      </c>
      <c r="J27">
        <f>EXP(DA_Tool_Exponential!$B$17+DA_Tool_Exponential!$B$18*gva_processed35[[#This Row],[TIME]])</f>
        <v>722452.87611714413</v>
      </c>
    </row>
    <row r="28" spans="1:10" x14ac:dyDescent="0.2">
      <c r="A28" t="s">
        <v>29</v>
      </c>
      <c r="B28">
        <v>2023</v>
      </c>
      <c r="C28">
        <v>3</v>
      </c>
      <c r="D28" s="19">
        <v>28</v>
      </c>
      <c r="E28">
        <f>LN(gva_processed35[[#This Row],[TIME]])</f>
        <v>3.3322045101752038</v>
      </c>
      <c r="F28">
        <v>760667.4</v>
      </c>
      <c r="G28">
        <f>LN(gva_processed35[[#This Row],[GVA]])</f>
        <v>13.541951484802192</v>
      </c>
      <c r="H28">
        <f>DA_Tool_Linear!$B$17+DA_Tool_Linear!$B$18*gva_processed35[[#This Row],[TIME]]</f>
        <v>744202.5429640949</v>
      </c>
      <c r="I28">
        <f>EXP(DA_Tool_Power!$B$17)*gva_processed35[[#This Row],[TIME]]^DA_Tool_Power!$B$18</f>
        <v>709274.03263847937</v>
      </c>
      <c r="J28">
        <f>EXP(DA_Tool_Exponential!$B$17+DA_Tool_Exponential!$B$18*gva_processed35[[#This Row],[TIME]])</f>
        <v>739194.99809697457</v>
      </c>
    </row>
    <row r="29" spans="1:10" x14ac:dyDescent="0.2">
      <c r="A29" t="s">
        <v>30</v>
      </c>
      <c r="B29">
        <v>2023</v>
      </c>
      <c r="C29">
        <v>4</v>
      </c>
      <c r="D29" s="19">
        <v>29</v>
      </c>
      <c r="E29">
        <f>LN(gva_processed35[[#This Row],[TIME]])</f>
        <v>3.3672958299864741</v>
      </c>
      <c r="F29">
        <v>857993.4</v>
      </c>
      <c r="G29">
        <f>LN(gva_processed35[[#This Row],[GVA]])</f>
        <v>13.662351686132821</v>
      </c>
      <c r="H29">
        <f>DA_Tool_Linear!$B$17+DA_Tool_Linear!$B$18*gva_processed35[[#This Row],[TIME]]</f>
        <v>758193.88866310171</v>
      </c>
      <c r="I29">
        <f>EXP(DA_Tool_Power!$B$17)*gva_processed35[[#This Row],[TIME]]^DA_Tool_Power!$B$18</f>
        <v>716361.10620838229</v>
      </c>
      <c r="J29">
        <f>EXP(DA_Tool_Exponential!$B$17+DA_Tool_Exponential!$B$18*gva_processed35[[#This Row],[TIME]])</f>
        <v>756325.10198905773</v>
      </c>
    </row>
    <row r="30" spans="1:10" x14ac:dyDescent="0.2">
      <c r="A30" t="s">
        <v>31</v>
      </c>
      <c r="B30">
        <v>2024</v>
      </c>
      <c r="C30">
        <v>1</v>
      </c>
      <c r="D30" s="19">
        <v>30</v>
      </c>
      <c r="E30">
        <f>LN(gva_processed35[[#This Row],[TIME]])</f>
        <v>3.4011973816621555</v>
      </c>
      <c r="F30">
        <v>748145</v>
      </c>
      <c r="G30">
        <f>LN(gva_processed35[[#This Row],[GVA]])</f>
        <v>13.525352088437458</v>
      </c>
      <c r="H30">
        <f>DA_Tool_Linear!$B$17+DA_Tool_Linear!$B$18*gva_processed35[[#This Row],[TIME]]</f>
        <v>772185.23436210863</v>
      </c>
      <c r="I30">
        <f>EXP(DA_Tool_Power!$B$17)*gva_processed35[[#This Row],[TIME]]^DA_Tool_Power!$B$18</f>
        <v>723275.13898814307</v>
      </c>
      <c r="J30">
        <f>EXP(DA_Tool_Exponential!$B$17+DA_Tool_Exponential!$B$18*gva_processed35[[#This Row],[TIME]])</f>
        <v>773852.17888570414</v>
      </c>
    </row>
    <row r="31" spans="1:10" x14ac:dyDescent="0.2">
      <c r="A31" t="s">
        <v>32</v>
      </c>
      <c r="B31">
        <v>2024</v>
      </c>
      <c r="C31">
        <v>2</v>
      </c>
      <c r="D31" s="19">
        <v>31</v>
      </c>
      <c r="E31">
        <f>LN(gva_processed35[[#This Row],[TIME]])</f>
        <v>3.4339872044851463</v>
      </c>
      <c r="F31">
        <v>772052</v>
      </c>
      <c r="G31">
        <f>LN(gva_processed35[[#This Row],[GVA]])</f>
        <v>13.556807184251451</v>
      </c>
      <c r="H31">
        <f>DA_Tool_Linear!$B$17+DA_Tool_Linear!$B$18*gva_processed35[[#This Row],[TIME]]</f>
        <v>786176.58006111556</v>
      </c>
      <c r="I31">
        <f>EXP(DA_Tool_Power!$B$17)*gva_processed35[[#This Row],[TIME]]^DA_Tool_Power!$B$18</f>
        <v>730025.91907773085</v>
      </c>
      <c r="J31">
        <f>EXP(DA_Tool_Exponential!$B$17+DA_Tool_Exponential!$B$18*gva_processed35[[#This Row],[TIME]])</f>
        <v>791785.42823879037</v>
      </c>
    </row>
    <row r="32" spans="1:10" x14ac:dyDescent="0.2">
      <c r="A32" t="s">
        <v>33</v>
      </c>
      <c r="B32">
        <v>2024</v>
      </c>
      <c r="C32">
        <v>3</v>
      </c>
      <c r="D32" s="19">
        <v>32</v>
      </c>
      <c r="E32">
        <f>LN(gva_processed35[[#This Row],[TIME]])</f>
        <v>3.4657359027997265</v>
      </c>
      <c r="F32">
        <v>807767.9</v>
      </c>
      <c r="G32">
        <f>LN(gva_processed35[[#This Row],[GVA]])</f>
        <v>13.60203004376309</v>
      </c>
      <c r="H32">
        <f>DA_Tool_Linear!$B$17+DA_Tool_Linear!$B$18*gva_processed35[[#This Row],[TIME]]</f>
        <v>800167.92576012248</v>
      </c>
      <c r="I32">
        <f>EXP(DA_Tool_Power!$B$17)*gva_processed35[[#This Row],[TIME]]^DA_Tool_Power!$B$18</f>
        <v>736622.38624469575</v>
      </c>
      <c r="J32">
        <f>EXP(DA_Tool_Exponential!$B$17+DA_Tool_Exponential!$B$18*gva_processed35[[#This Row],[TIME]])</f>
        <v>810134.26268827438</v>
      </c>
    </row>
    <row r="33" spans="1:10" x14ac:dyDescent="0.2">
      <c r="A33" t="s">
        <v>34</v>
      </c>
      <c r="B33">
        <v>2024</v>
      </c>
      <c r="C33">
        <v>4</v>
      </c>
      <c r="D33" s="19">
        <v>33</v>
      </c>
      <c r="E33">
        <f>LN(gva_processed35[[#This Row],[TIME]])</f>
        <v>3.4965075614664802</v>
      </c>
      <c r="F33">
        <v>921249</v>
      </c>
      <c r="G33">
        <f>LN(gva_processed35[[#This Row],[GVA]])</f>
        <v>13.733485637003412</v>
      </c>
      <c r="H33">
        <f>DA_Tool_Linear!$B$17+DA_Tool_Linear!$B$18*gva_processed35[[#This Row],[TIME]]</f>
        <v>814159.27145912929</v>
      </c>
      <c r="I33">
        <f>EXP(DA_Tool_Power!$B$17)*gva_processed35[[#This Row],[TIME]]^DA_Tool_Power!$B$18</f>
        <v>743072.72941333381</v>
      </c>
      <c r="J33">
        <f>EXP(DA_Tool_Exponential!$B$17+DA_Tool_Exponential!$B$18*gva_processed35[[#This Row],[TIME]])</f>
        <v>828908.31300262024</v>
      </c>
    </row>
    <row r="34" spans="1:10" x14ac:dyDescent="0.2">
      <c r="A34" t="s">
        <v>35</v>
      </c>
      <c r="B34">
        <v>2025</v>
      </c>
      <c r="C34">
        <v>1</v>
      </c>
      <c r="D34" s="19">
        <v>34</v>
      </c>
      <c r="E34">
        <f>LN(gva_processed35[[#This Row],[TIME]])</f>
        <v>3.5263605246161616</v>
      </c>
      <c r="F34">
        <v>785342.5</v>
      </c>
      <c r="G34">
        <f>LN(gva_processed35[[#This Row],[GVA]])</f>
        <v>13.57387520734336</v>
      </c>
      <c r="H34">
        <f>DA_Tool_Linear!$B$17+DA_Tool_Linear!$B$18*gva_processed35[[#This Row],[TIME]]</f>
        <v>828150.6171581361</v>
      </c>
      <c r="I34">
        <f>EXP(DA_Tool_Power!$B$17)*gva_processed35[[#This Row],[TIME]]^DA_Tool_Power!$B$18</f>
        <v>749384.4703612891</v>
      </c>
      <c r="J34">
        <f>EXP(DA_Tool_Exponential!$B$17+DA_Tool_Exponential!$B$18*gva_processed35[[#This Row],[TIME]])</f>
        <v>848117.43313370971</v>
      </c>
    </row>
    <row r="35" spans="1:10" x14ac:dyDescent="0.2">
      <c r="A35" t="s">
        <v>36</v>
      </c>
      <c r="B35">
        <v>2025</v>
      </c>
      <c r="C35">
        <v>2</v>
      </c>
      <c r="D35" s="19">
        <v>35</v>
      </c>
      <c r="E35">
        <f>LN(gva_processed35[[#This Row],[TIME]])</f>
        <v>3.5553480614894135</v>
      </c>
      <c r="F35">
        <v>816793.1</v>
      </c>
      <c r="G35">
        <f>LN(gva_processed35[[#This Row],[GVA]])</f>
        <v>13.61314109819652</v>
      </c>
      <c r="H35">
        <f>DA_Tool_Linear!$B$17+DA_Tool_Linear!$B$18*gva_processed35[[#This Row],[TIME]]</f>
        <v>842141.96285714302</v>
      </c>
      <c r="I35">
        <f>EXP(DA_Tool_Power!$B$17)*gva_processed35[[#This Row],[TIME]]^DA_Tool_Power!$B$18</f>
        <v>755564.5359199805</v>
      </c>
      <c r="J35">
        <f>EXP(DA_Tool_Exponential!$B$17+DA_Tool_Exponential!$B$18*gva_processed35[[#This Row],[TIME]])</f>
        <v>867771.70538889267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BA9D-DFB2-AD4D-A475-8F0DD2EF1452}">
  <dimension ref="B1:AW34"/>
  <sheetViews>
    <sheetView workbookViewId="0">
      <selection activeCell="O13" sqref="O13"/>
    </sheetView>
  </sheetViews>
  <sheetFormatPr baseColWidth="10" defaultRowHeight="16" x14ac:dyDescent="0.2"/>
  <cols>
    <col min="2" max="2" width="15.1640625" bestFit="1" customWidth="1"/>
    <col min="3" max="3" width="2.1640625" bestFit="1" customWidth="1"/>
    <col min="4" max="4" width="3.1640625" bestFit="1" customWidth="1"/>
    <col min="6" max="6" width="4.83203125" bestFit="1" customWidth="1"/>
    <col min="7" max="7" width="9.6640625" style="15" bestFit="1" customWidth="1"/>
    <col min="8" max="8" width="9.1640625" customWidth="1"/>
    <col min="9" max="9" width="7.33203125" bestFit="1" customWidth="1"/>
    <col min="10" max="10" width="9.6640625" style="15" bestFit="1" customWidth="1"/>
    <col min="11" max="11" width="9.1640625" customWidth="1"/>
    <col min="12" max="12" width="15.6640625" bestFit="1" customWidth="1"/>
    <col min="13" max="13" width="14.6640625" style="15" bestFit="1" customWidth="1"/>
    <col min="14" max="14" width="6.1640625" bestFit="1" customWidth="1"/>
    <col min="15" max="15" width="88.6640625" bestFit="1" customWidth="1"/>
    <col min="16" max="17" width="12.83203125" bestFit="1" customWidth="1"/>
    <col min="18" max="18" width="10.6640625" bestFit="1" customWidth="1"/>
    <col min="19" max="23" width="2.1640625" bestFit="1" customWidth="1"/>
    <col min="24" max="49" width="3.1640625" bestFit="1" customWidth="1"/>
  </cols>
  <sheetData>
    <row r="1" spans="2:49" x14ac:dyDescent="0.2">
      <c r="B1" s="11" t="s">
        <v>64</v>
      </c>
      <c r="C1" s="7">
        <v>1</v>
      </c>
      <c r="D1" s="7">
        <v>2</v>
      </c>
      <c r="F1" s="11" t="s">
        <v>37</v>
      </c>
      <c r="G1" s="14">
        <v>411240.3</v>
      </c>
      <c r="I1" s="11" t="s">
        <v>72</v>
      </c>
      <c r="J1" s="16">
        <f>$Q$18+$Q$19*D1</f>
        <v>380427.5547899165</v>
      </c>
      <c r="L1" s="11" t="s">
        <v>73</v>
      </c>
      <c r="M1" s="17">
        <f>(G1-J1)^2</f>
        <v>949425267.38152325</v>
      </c>
      <c r="O1" s="11" t="s">
        <v>65</v>
      </c>
      <c r="P1" s="5" cm="1">
        <f t="array" ref="P1:AW2">TRANSPOSE(C1:D34)</f>
        <v>1</v>
      </c>
      <c r="Q1" s="5">
        <v>1</v>
      </c>
      <c r="R1" s="5">
        <v>1</v>
      </c>
      <c r="S1" s="5">
        <v>1</v>
      </c>
      <c r="T1" s="5">
        <v>1</v>
      </c>
      <c r="U1" s="5">
        <v>1</v>
      </c>
      <c r="V1" s="5">
        <v>1</v>
      </c>
      <c r="W1" s="5">
        <v>1</v>
      </c>
      <c r="X1" s="5">
        <v>1</v>
      </c>
      <c r="Y1" s="5">
        <v>1</v>
      </c>
      <c r="Z1" s="5">
        <v>1</v>
      </c>
      <c r="AA1" s="5">
        <v>1</v>
      </c>
      <c r="AB1" s="5">
        <v>1</v>
      </c>
      <c r="AC1" s="5">
        <v>1</v>
      </c>
      <c r="AD1" s="5">
        <v>1</v>
      </c>
      <c r="AE1" s="5">
        <v>1</v>
      </c>
      <c r="AF1" s="5">
        <v>1</v>
      </c>
      <c r="AG1" s="5">
        <v>1</v>
      </c>
      <c r="AH1" s="5">
        <v>1</v>
      </c>
      <c r="AI1" s="5">
        <v>1</v>
      </c>
      <c r="AJ1" s="5">
        <v>1</v>
      </c>
      <c r="AK1" s="5">
        <v>1</v>
      </c>
      <c r="AL1" s="5">
        <v>1</v>
      </c>
      <c r="AM1" s="5">
        <v>1</v>
      </c>
      <c r="AN1" s="5">
        <v>1</v>
      </c>
      <c r="AO1" s="5">
        <v>1</v>
      </c>
      <c r="AP1" s="5">
        <v>1</v>
      </c>
      <c r="AQ1" s="5">
        <v>1</v>
      </c>
      <c r="AR1" s="5">
        <v>1</v>
      </c>
      <c r="AS1" s="5">
        <v>1</v>
      </c>
      <c r="AT1" s="5">
        <v>1</v>
      </c>
      <c r="AU1" s="5">
        <v>1</v>
      </c>
      <c r="AV1" s="5">
        <v>1</v>
      </c>
      <c r="AW1" s="5">
        <v>1</v>
      </c>
    </row>
    <row r="2" spans="2:49" x14ac:dyDescent="0.2">
      <c r="C2" s="7">
        <v>1</v>
      </c>
      <c r="D2" s="7">
        <v>3</v>
      </c>
      <c r="G2" s="14">
        <v>421998</v>
      </c>
      <c r="J2" s="16">
        <f t="shared" ref="J2:J34" si="0">$Q$18+$Q$19*D2</f>
        <v>394418.90048892336</v>
      </c>
      <c r="M2" s="17">
        <f t="shared" ref="M2:M34" si="1">(G2-J2)^2</f>
        <v>760606729.84186769</v>
      </c>
      <c r="P2" s="5">
        <v>2</v>
      </c>
      <c r="Q2" s="5">
        <v>3</v>
      </c>
      <c r="R2" s="5">
        <v>4</v>
      </c>
      <c r="S2" s="5">
        <v>5</v>
      </c>
      <c r="T2" s="5">
        <v>6</v>
      </c>
      <c r="U2" s="5">
        <v>7</v>
      </c>
      <c r="V2" s="5">
        <v>8</v>
      </c>
      <c r="W2" s="5">
        <v>9</v>
      </c>
      <c r="X2" s="5">
        <v>10</v>
      </c>
      <c r="Y2" s="5">
        <v>11</v>
      </c>
      <c r="Z2" s="5">
        <v>12</v>
      </c>
      <c r="AA2" s="5">
        <v>13</v>
      </c>
      <c r="AB2" s="5">
        <v>14</v>
      </c>
      <c r="AC2" s="5">
        <v>15</v>
      </c>
      <c r="AD2" s="5">
        <v>16</v>
      </c>
      <c r="AE2" s="5">
        <v>17</v>
      </c>
      <c r="AF2" s="5">
        <v>18</v>
      </c>
      <c r="AG2" s="5">
        <v>19</v>
      </c>
      <c r="AH2" s="5">
        <v>20</v>
      </c>
      <c r="AI2" s="5">
        <v>21</v>
      </c>
      <c r="AJ2" s="5">
        <v>22</v>
      </c>
      <c r="AK2" s="5">
        <v>23</v>
      </c>
      <c r="AL2" s="5">
        <v>24</v>
      </c>
      <c r="AM2" s="5">
        <v>25</v>
      </c>
      <c r="AN2" s="5">
        <v>26</v>
      </c>
      <c r="AO2" s="5">
        <v>27</v>
      </c>
      <c r="AP2" s="5">
        <v>28</v>
      </c>
      <c r="AQ2" s="5">
        <v>29</v>
      </c>
      <c r="AR2" s="5">
        <v>30</v>
      </c>
      <c r="AS2" s="5">
        <v>31</v>
      </c>
      <c r="AT2" s="5">
        <v>32</v>
      </c>
      <c r="AU2" s="5">
        <v>33</v>
      </c>
      <c r="AV2" s="5">
        <v>34</v>
      </c>
      <c r="AW2" s="5">
        <v>35</v>
      </c>
    </row>
    <row r="3" spans="2:49" x14ac:dyDescent="0.2">
      <c r="C3" s="7">
        <v>1</v>
      </c>
      <c r="D3" s="7">
        <v>4</v>
      </c>
      <c r="G3" s="14">
        <v>430320.3</v>
      </c>
      <c r="J3" s="16">
        <f t="shared" si="0"/>
        <v>408410.24618793023</v>
      </c>
      <c r="M3" s="17">
        <f t="shared" si="1"/>
        <v>480050458.04779261</v>
      </c>
    </row>
    <row r="4" spans="2:49" x14ac:dyDescent="0.2">
      <c r="C4" s="7">
        <v>1</v>
      </c>
      <c r="D4" s="7">
        <v>5</v>
      </c>
      <c r="G4" s="14">
        <v>490967.8</v>
      </c>
      <c r="J4" s="16">
        <f t="shared" si="0"/>
        <v>422401.59188693709</v>
      </c>
      <c r="M4" s="17">
        <f t="shared" si="1"/>
        <v>4701324895.0038519</v>
      </c>
      <c r="O4" s="11" t="s">
        <v>66</v>
      </c>
      <c r="P4" s="10"/>
      <c r="Q4" s="7"/>
      <c r="R4" s="7"/>
    </row>
    <row r="5" spans="2:49" x14ac:dyDescent="0.2">
      <c r="C5" s="7">
        <v>1</v>
      </c>
      <c r="D5" s="7">
        <v>6</v>
      </c>
      <c r="G5" s="14">
        <v>439707.9</v>
      </c>
      <c r="J5" s="16">
        <f t="shared" si="0"/>
        <v>436392.93758594396</v>
      </c>
      <c r="M5" s="17">
        <f t="shared" si="1"/>
        <v>10988975.806604398</v>
      </c>
      <c r="P5" s="5"/>
      <c r="Q5" cm="1">
        <f t="array" ref="Q5:R6">MMULT(_xlfn.ANCHORARRAY(P1),C1:D34)</f>
        <v>34</v>
      </c>
      <c r="R5">
        <v>629</v>
      </c>
    </row>
    <row r="6" spans="2:49" x14ac:dyDescent="0.2">
      <c r="C6" s="7">
        <v>1</v>
      </c>
      <c r="D6" s="7">
        <v>7</v>
      </c>
      <c r="G6" s="14">
        <v>452196.1</v>
      </c>
      <c r="J6" s="16">
        <f t="shared" si="0"/>
        <v>450384.28328495083</v>
      </c>
      <c r="M6" s="17">
        <f t="shared" si="1"/>
        <v>3282679.8089314927</v>
      </c>
      <c r="P6" s="5"/>
      <c r="Q6">
        <v>629</v>
      </c>
      <c r="R6">
        <v>14909</v>
      </c>
    </row>
    <row r="7" spans="2:49" x14ac:dyDescent="0.2">
      <c r="C7" s="7">
        <v>1</v>
      </c>
      <c r="D7" s="7">
        <v>8</v>
      </c>
      <c r="G7" s="14">
        <v>464846.4</v>
      </c>
      <c r="J7" s="16">
        <f t="shared" si="0"/>
        <v>464375.62898395769</v>
      </c>
      <c r="M7" s="17">
        <f t="shared" si="1"/>
        <v>221625.34954552801</v>
      </c>
    </row>
    <row r="8" spans="2:49" x14ac:dyDescent="0.2">
      <c r="C8" s="7">
        <v>1</v>
      </c>
      <c r="D8" s="7">
        <v>9</v>
      </c>
      <c r="G8" s="14">
        <v>526763.69999999995</v>
      </c>
      <c r="J8" s="16">
        <f t="shared" si="0"/>
        <v>478366.97468296456</v>
      </c>
      <c r="M8" s="17">
        <f t="shared" si="1"/>
        <v>2342243021.4125748</v>
      </c>
    </row>
    <row r="9" spans="2:49" x14ac:dyDescent="0.2">
      <c r="C9" s="7">
        <v>1</v>
      </c>
      <c r="D9" s="7">
        <v>10</v>
      </c>
      <c r="G9" s="14">
        <v>474780.8</v>
      </c>
      <c r="J9" s="16">
        <f t="shared" si="0"/>
        <v>492358.32038197143</v>
      </c>
      <c r="M9" s="17">
        <f t="shared" si="1"/>
        <v>308969222.77862132</v>
      </c>
      <c r="O9" s="11" t="s">
        <v>68</v>
      </c>
      <c r="P9" s="6" cm="1">
        <f t="array" ref="P9:Q10">MINVERSE(_xlfn.ANCHORARRAY(Q5))</f>
        <v>0.13399541634835746</v>
      </c>
      <c r="Q9" s="6">
        <v>-5.6531703590527093E-3</v>
      </c>
    </row>
    <row r="10" spans="2:49" x14ac:dyDescent="0.2">
      <c r="C10" s="7">
        <v>1</v>
      </c>
      <c r="D10" s="7">
        <v>11</v>
      </c>
      <c r="G10" s="14">
        <v>489456.2</v>
      </c>
      <c r="J10" s="16">
        <f t="shared" si="0"/>
        <v>506349.66608097829</v>
      </c>
      <c r="M10" s="17">
        <f t="shared" si="1"/>
        <v>285389196.22916365</v>
      </c>
      <c r="P10" s="6">
        <v>-5.6531703590527093E-3</v>
      </c>
      <c r="Q10" s="6">
        <v>3.0557677616501133E-4</v>
      </c>
    </row>
    <row r="11" spans="2:49" x14ac:dyDescent="0.2">
      <c r="C11" s="7">
        <v>1</v>
      </c>
      <c r="D11" s="7">
        <v>12</v>
      </c>
      <c r="G11" s="14">
        <v>503638.8</v>
      </c>
      <c r="J11" s="16">
        <f t="shared" si="0"/>
        <v>520341.01177998516</v>
      </c>
      <c r="M11" s="17">
        <f t="shared" si="1"/>
        <v>278963878.34347534</v>
      </c>
    </row>
    <row r="12" spans="2:49" x14ac:dyDescent="0.2">
      <c r="C12" s="7">
        <v>1</v>
      </c>
      <c r="D12" s="7">
        <v>13</v>
      </c>
      <c r="G12" s="14">
        <v>568995.69999999995</v>
      </c>
      <c r="J12" s="16">
        <f t="shared" si="0"/>
        <v>534332.35747899208</v>
      </c>
      <c r="M12" s="17">
        <f t="shared" si="1"/>
        <v>1201547314.7287123</v>
      </c>
      <c r="O12" s="11" t="s">
        <v>67</v>
      </c>
      <c r="P12" s="10"/>
      <c r="Q12" s="1"/>
    </row>
    <row r="13" spans="2:49" x14ac:dyDescent="0.2">
      <c r="C13" s="7">
        <v>1</v>
      </c>
      <c r="D13" s="7">
        <v>14</v>
      </c>
      <c r="G13" s="14">
        <v>509709.5</v>
      </c>
      <c r="J13" s="16">
        <f t="shared" si="0"/>
        <v>548323.70317799889</v>
      </c>
      <c r="M13" s="17">
        <f t="shared" si="1"/>
        <v>1491056687.0717795</v>
      </c>
      <c r="P13" s="8"/>
      <c r="Q13" s="9" cm="1">
        <f t="array" ref="Q13:Q14">MMULT(_xlfn.ANCHORARRAY(P1),G1:G34)</f>
        <v>20783681.800000004</v>
      </c>
    </row>
    <row r="14" spans="2:49" x14ac:dyDescent="0.2">
      <c r="C14" s="7">
        <v>1</v>
      </c>
      <c r="D14" s="7">
        <v>15</v>
      </c>
      <c r="G14" s="14">
        <v>473153.3</v>
      </c>
      <c r="J14" s="16">
        <f t="shared" si="0"/>
        <v>562315.0488770057</v>
      </c>
      <c r="M14" s="17">
        <f t="shared" si="1"/>
        <v>7949817462.8062286</v>
      </c>
      <c r="P14" s="8"/>
      <c r="Q14" s="9">
        <v>430284792.10000002</v>
      </c>
    </row>
    <row r="15" spans="2:49" x14ac:dyDescent="0.2">
      <c r="C15" s="7">
        <v>1</v>
      </c>
      <c r="D15" s="7">
        <v>16</v>
      </c>
      <c r="G15" s="14">
        <v>517385.4</v>
      </c>
      <c r="J15" s="16">
        <f t="shared" si="0"/>
        <v>576306.39457601262</v>
      </c>
      <c r="M15" s="17">
        <f t="shared" si="1"/>
        <v>3471683601.8265061</v>
      </c>
    </row>
    <row r="16" spans="2:49" x14ac:dyDescent="0.2">
      <c r="C16" s="7">
        <v>1</v>
      </c>
      <c r="D16" s="7">
        <v>17</v>
      </c>
      <c r="G16" s="14">
        <v>584580.9</v>
      </c>
      <c r="J16" s="16">
        <f t="shared" si="0"/>
        <v>590297.74027501955</v>
      </c>
      <c r="M16" s="17">
        <f t="shared" si="1"/>
        <v>32682262.730085302</v>
      </c>
    </row>
    <row r="17" spans="3:18" x14ac:dyDescent="0.2">
      <c r="C17" s="7">
        <v>1</v>
      </c>
      <c r="D17" s="7">
        <v>18</v>
      </c>
      <c r="G17" s="14">
        <v>531027.4</v>
      </c>
      <c r="J17" s="16">
        <f t="shared" si="0"/>
        <v>604289.08597402635</v>
      </c>
      <c r="M17" s="17">
        <f t="shared" si="1"/>
        <v>5367274631.7568464</v>
      </c>
      <c r="O17" s="11" t="s">
        <v>69</v>
      </c>
      <c r="P17" s="10"/>
      <c r="Q17" s="9"/>
    </row>
    <row r="18" spans="3:18" x14ac:dyDescent="0.2">
      <c r="C18" s="7">
        <v>1</v>
      </c>
      <c r="D18" s="7">
        <v>19</v>
      </c>
      <c r="G18" s="14">
        <v>548448.69999999995</v>
      </c>
      <c r="J18" s="16">
        <f t="shared" si="0"/>
        <v>618280.43167303316</v>
      </c>
      <c r="M18" s="17">
        <f t="shared" si="1"/>
        <v>4876470748.4545097</v>
      </c>
      <c r="P18" s="12" t="s">
        <v>70</v>
      </c>
      <c r="Q18" s="13" cm="1">
        <f t="array" ref="Q18:Q19">MMULT(_xlfn.ANCHORARRAY(P9),_xlfn.ANCHORARRAY(Q13))</f>
        <v>352444.86339190276</v>
      </c>
    </row>
    <row r="19" spans="3:18" x14ac:dyDescent="0.2">
      <c r="C19" s="7">
        <v>1</v>
      </c>
      <c r="D19" s="7">
        <v>20</v>
      </c>
      <c r="G19" s="14">
        <v>585019.9</v>
      </c>
      <c r="J19" s="16">
        <f t="shared" si="0"/>
        <v>632271.77737204009</v>
      </c>
      <c r="M19" s="17">
        <f t="shared" si="1"/>
        <v>2232739915.182312</v>
      </c>
      <c r="P19" s="12" t="s">
        <v>71</v>
      </c>
      <c r="Q19" s="13">
        <v>13991.345699006866</v>
      </c>
    </row>
    <row r="20" spans="3:18" x14ac:dyDescent="0.2">
      <c r="C20" s="7">
        <v>1</v>
      </c>
      <c r="D20" s="7">
        <v>21</v>
      </c>
      <c r="G20" s="14">
        <v>655913.69999999995</v>
      </c>
      <c r="J20" s="16">
        <f t="shared" si="0"/>
        <v>646263.12307104701</v>
      </c>
      <c r="M20" s="17">
        <f t="shared" si="1"/>
        <v>93133635.061638787</v>
      </c>
    </row>
    <row r="21" spans="3:18" x14ac:dyDescent="0.2">
      <c r="C21" s="7">
        <v>1</v>
      </c>
      <c r="D21" s="7">
        <v>22</v>
      </c>
      <c r="G21" s="14">
        <v>622993.80000000005</v>
      </c>
      <c r="J21" s="16">
        <f t="shared" si="0"/>
        <v>660254.46877005382</v>
      </c>
      <c r="M21" s="17">
        <f t="shared" si="1"/>
        <v>1388357437.1916606</v>
      </c>
      <c r="O21" s="11" t="s">
        <v>74</v>
      </c>
      <c r="P21" s="18">
        <f>SUM(M1:M34) / (COUNT(M1:M34) - 2)</f>
        <v>2273321209.097281</v>
      </c>
    </row>
    <row r="22" spans="3:18" x14ac:dyDescent="0.2">
      <c r="C22" s="7">
        <v>1</v>
      </c>
      <c r="D22" s="7">
        <v>23</v>
      </c>
      <c r="G22" s="14">
        <v>647440.69999999995</v>
      </c>
      <c r="J22" s="16">
        <f t="shared" si="0"/>
        <v>674245.81446906063</v>
      </c>
      <c r="M22" s="17">
        <f t="shared" si="1"/>
        <v>718514161.69944596</v>
      </c>
    </row>
    <row r="23" spans="3:18" x14ac:dyDescent="0.2">
      <c r="C23" s="7">
        <v>1</v>
      </c>
      <c r="D23" s="7">
        <v>24</v>
      </c>
      <c r="G23" s="14">
        <v>702235</v>
      </c>
      <c r="J23" s="16">
        <f t="shared" si="0"/>
        <v>688237.16016806755</v>
      </c>
      <c r="M23" s="17">
        <f t="shared" si="1"/>
        <v>195939519.96043462</v>
      </c>
      <c r="O23" s="11" t="s">
        <v>75</v>
      </c>
      <c r="P23" s="6"/>
      <c r="Q23" s="6"/>
    </row>
    <row r="24" spans="3:18" x14ac:dyDescent="0.2">
      <c r="C24" s="7">
        <v>1</v>
      </c>
      <c r="D24" s="7">
        <v>25</v>
      </c>
      <c r="G24" s="14">
        <v>793577</v>
      </c>
      <c r="J24" s="16">
        <f t="shared" si="0"/>
        <v>702228.50586707448</v>
      </c>
      <c r="M24" s="17">
        <f t="shared" si="1"/>
        <v>8344547380.3531284</v>
      </c>
      <c r="O24" s="18" t="s">
        <v>85</v>
      </c>
      <c r="P24" s="20">
        <f>$P$21*P9</f>
        <v>304614621.90654153</v>
      </c>
      <c r="Q24" s="20">
        <f>$P$21*Q9</f>
        <v>-12851472.075874615</v>
      </c>
    </row>
    <row r="25" spans="3:18" x14ac:dyDescent="0.2">
      <c r="C25" s="7">
        <v>1</v>
      </c>
      <c r="D25" s="7">
        <v>26</v>
      </c>
      <c r="G25" s="14">
        <v>722500.8</v>
      </c>
      <c r="J25" s="16">
        <f t="shared" si="0"/>
        <v>716219.85156608128</v>
      </c>
      <c r="M25" s="17">
        <f t="shared" si="1"/>
        <v>39450313.229546547</v>
      </c>
      <c r="P25" s="20">
        <f>$P$21*P10</f>
        <v>-12851472.075874615</v>
      </c>
      <c r="Q25" s="20">
        <f>$P$21*Q10</f>
        <v>694674.16626349278</v>
      </c>
    </row>
    <row r="26" spans="3:18" x14ac:dyDescent="0.2">
      <c r="C26" s="7">
        <v>1</v>
      </c>
      <c r="D26" s="7">
        <v>27</v>
      </c>
      <c r="G26" s="14">
        <v>744773.4</v>
      </c>
      <c r="J26" s="16">
        <f t="shared" si="0"/>
        <v>730211.19726508809</v>
      </c>
      <c r="M26" s="17">
        <f t="shared" si="1"/>
        <v>212057748.49267653</v>
      </c>
    </row>
    <row r="27" spans="3:18" x14ac:dyDescent="0.2">
      <c r="C27" s="7">
        <v>1</v>
      </c>
      <c r="D27" s="7">
        <v>28</v>
      </c>
      <c r="G27" s="14">
        <v>760667.4</v>
      </c>
      <c r="J27" s="16">
        <f t="shared" si="0"/>
        <v>744202.54296409502</v>
      </c>
      <c r="M27" s="17">
        <f t="shared" si="1"/>
        <v>271091517.21279061</v>
      </c>
      <c r="O27" s="11" t="s">
        <v>76</v>
      </c>
      <c r="P27" s="21">
        <f>SQRT(P24)</f>
        <v>17453.212366396667</v>
      </c>
      <c r="Q27" s="20" t="e">
        <f>SQRT(Q24)</f>
        <v>#NUM!</v>
      </c>
      <c r="R27" s="13" t="s">
        <v>77</v>
      </c>
    </row>
    <row r="28" spans="3:18" x14ac:dyDescent="0.2">
      <c r="C28" s="7">
        <v>1</v>
      </c>
      <c r="D28" s="7">
        <v>29</v>
      </c>
      <c r="G28" s="14">
        <v>857993.4</v>
      </c>
      <c r="J28" s="16">
        <f t="shared" si="0"/>
        <v>758193.88866310194</v>
      </c>
      <c r="M28" s="17">
        <f t="shared" si="1"/>
        <v>9959942463.0836487</v>
      </c>
      <c r="P28" s="20" t="e">
        <f>SQRT(P25)</f>
        <v>#NUM!</v>
      </c>
      <c r="Q28" s="21">
        <f>SQRT(Q25)</f>
        <v>833.47115502787062</v>
      </c>
      <c r="R28" s="13" t="s">
        <v>78</v>
      </c>
    </row>
    <row r="29" spans="3:18" x14ac:dyDescent="0.2">
      <c r="C29" s="7">
        <v>1</v>
      </c>
      <c r="D29" s="7">
        <v>30</v>
      </c>
      <c r="G29" s="14">
        <v>748145</v>
      </c>
      <c r="J29" s="16">
        <f t="shared" si="0"/>
        <v>772185.23436210875</v>
      </c>
      <c r="M29" s="17">
        <f t="shared" si="1"/>
        <v>577932868.18511426</v>
      </c>
    </row>
    <row r="30" spans="3:18" x14ac:dyDescent="0.2">
      <c r="C30" s="7">
        <v>1</v>
      </c>
      <c r="D30" s="7">
        <v>31</v>
      </c>
      <c r="G30" s="14">
        <v>772052</v>
      </c>
      <c r="J30" s="16">
        <f t="shared" si="0"/>
        <v>786176.58006111556</v>
      </c>
      <c r="M30" s="17">
        <f t="shared" si="1"/>
        <v>199503761.90286317</v>
      </c>
      <c r="O30" s="11" t="s">
        <v>86</v>
      </c>
      <c r="P30" s="22">
        <f>Q18/P27</f>
        <v>20.193695922160337</v>
      </c>
    </row>
    <row r="31" spans="3:18" x14ac:dyDescent="0.2">
      <c r="C31" s="7">
        <v>1</v>
      </c>
      <c r="D31" s="7">
        <v>32</v>
      </c>
      <c r="G31" s="14">
        <v>807767.9</v>
      </c>
      <c r="J31" s="16">
        <f t="shared" si="0"/>
        <v>800167.92576012248</v>
      </c>
      <c r="M31" s="17">
        <f t="shared" si="1"/>
        <v>57759608.446802214</v>
      </c>
      <c r="P31" s="22">
        <f>Q19/Q28</f>
        <v>16.786838530169657</v>
      </c>
    </row>
    <row r="32" spans="3:18" x14ac:dyDescent="0.2">
      <c r="C32" s="7">
        <v>1</v>
      </c>
      <c r="D32" s="7">
        <v>33</v>
      </c>
      <c r="G32" s="14">
        <v>921249</v>
      </c>
      <c r="J32" s="16">
        <f t="shared" si="0"/>
        <v>814159.27145912941</v>
      </c>
      <c r="M32" s="17">
        <f t="shared" si="1"/>
        <v>11468209958.957354</v>
      </c>
    </row>
    <row r="33" spans="3:16" x14ac:dyDescent="0.2">
      <c r="C33" s="7">
        <v>1</v>
      </c>
      <c r="D33" s="7">
        <v>34</v>
      </c>
      <c r="G33" s="14">
        <v>785342.5</v>
      </c>
      <c r="J33" s="16">
        <f t="shared" si="0"/>
        <v>828150.61715813621</v>
      </c>
      <c r="M33" s="17">
        <f t="shared" si="1"/>
        <v>1832534894.624716</v>
      </c>
      <c r="O33" s="11" t="s">
        <v>87</v>
      </c>
      <c r="P33" s="22">
        <f>_xlfn.T.DIST.2T(P30,COUNT(G1:G34)-2)</f>
        <v>8.9521571070431217E-20</v>
      </c>
    </row>
    <row r="34" spans="3:16" x14ac:dyDescent="0.2">
      <c r="C34" s="7">
        <v>1</v>
      </c>
      <c r="D34" s="7">
        <v>35</v>
      </c>
      <c r="G34" s="14">
        <v>816793.1</v>
      </c>
      <c r="J34" s="16">
        <f t="shared" si="0"/>
        <v>842141.96285714302</v>
      </c>
      <c r="M34" s="17">
        <f t="shared" si="1"/>
        <v>642564848.15024626</v>
      </c>
      <c r="P34" s="22">
        <f>_xlfn.T.DIST.2T(P31,COUNT(G1:G34)-2)</f>
        <v>2.013202892492216E-17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8784-B08B-6C4A-8429-131C8163D4D9}">
  <dimension ref="B1:AW34"/>
  <sheetViews>
    <sheetView workbookViewId="0">
      <selection activeCell="P30" sqref="P30"/>
    </sheetView>
  </sheetViews>
  <sheetFormatPr baseColWidth="10" defaultRowHeight="16" x14ac:dyDescent="0.2"/>
  <cols>
    <col min="2" max="2" width="15.1640625" bestFit="1" customWidth="1"/>
    <col min="3" max="3" width="2.1640625" bestFit="1" customWidth="1"/>
    <col min="4" max="4" width="12.1640625" bestFit="1" customWidth="1"/>
    <col min="6" max="6" width="4.83203125" bestFit="1" customWidth="1"/>
    <col min="7" max="7" width="9.6640625" style="15" bestFit="1" customWidth="1"/>
    <col min="8" max="8" width="9.1640625" customWidth="1"/>
    <col min="9" max="9" width="7.33203125" bestFit="1" customWidth="1"/>
    <col min="10" max="10" width="9.6640625" style="15" bestFit="1" customWidth="1"/>
    <col min="11" max="11" width="9.1640625" customWidth="1"/>
    <col min="12" max="12" width="15.6640625" bestFit="1" customWidth="1"/>
    <col min="13" max="13" width="14.6640625" style="15" bestFit="1" customWidth="1"/>
    <col min="14" max="14" width="6.1640625" bestFit="1" customWidth="1"/>
    <col min="15" max="15" width="88.6640625" bestFit="1" customWidth="1"/>
    <col min="16" max="17" width="12.83203125" bestFit="1" customWidth="1"/>
    <col min="18" max="25" width="12.1640625" bestFit="1" customWidth="1"/>
    <col min="26" max="26" width="11.1640625" bestFit="1" customWidth="1"/>
    <col min="27" max="27" width="12.1640625" bestFit="1" customWidth="1"/>
    <col min="28" max="28" width="11.1640625" bestFit="1" customWidth="1"/>
    <col min="29" max="37" width="12.1640625" bestFit="1" customWidth="1"/>
    <col min="38" max="38" width="11.1640625" bestFit="1" customWidth="1"/>
    <col min="39" max="41" width="12.1640625" bestFit="1" customWidth="1"/>
    <col min="42" max="43" width="11.1640625" bestFit="1" customWidth="1"/>
    <col min="44" max="49" width="12.1640625" bestFit="1" customWidth="1"/>
  </cols>
  <sheetData>
    <row r="1" spans="2:49" x14ac:dyDescent="0.2">
      <c r="B1" s="11" t="s">
        <v>64</v>
      </c>
      <c r="C1" s="7">
        <v>1</v>
      </c>
      <c r="D1" s="7">
        <v>0.69314718055994529</v>
      </c>
      <c r="F1" s="11" t="s">
        <v>37</v>
      </c>
      <c r="G1" s="1">
        <v>12.92693299415741</v>
      </c>
      <c r="I1" s="11" t="s">
        <v>72</v>
      </c>
      <c r="J1" s="16">
        <f>$Q$18+$Q$19*D1</f>
        <v>12.724273366577075</v>
      </c>
      <c r="L1" s="11" t="s">
        <v>73</v>
      </c>
      <c r="M1" s="17">
        <f>(G1-J1)^2</f>
        <v>4.1070924651000061E-2</v>
      </c>
      <c r="O1" s="11" t="s">
        <v>65</v>
      </c>
      <c r="P1" s="5" cm="1">
        <f t="array" ref="P1:AW2">TRANSPOSE(C1:D34)</f>
        <v>1</v>
      </c>
      <c r="Q1" s="5">
        <v>1</v>
      </c>
      <c r="R1" s="5">
        <v>1</v>
      </c>
      <c r="S1" s="5">
        <v>1</v>
      </c>
      <c r="T1" s="5">
        <v>1</v>
      </c>
      <c r="U1" s="5">
        <v>1</v>
      </c>
      <c r="V1" s="5">
        <v>1</v>
      </c>
      <c r="W1" s="5">
        <v>1</v>
      </c>
      <c r="X1" s="5">
        <v>1</v>
      </c>
      <c r="Y1" s="5">
        <v>1</v>
      </c>
      <c r="Z1" s="5">
        <v>1</v>
      </c>
      <c r="AA1" s="5">
        <v>1</v>
      </c>
      <c r="AB1" s="5">
        <v>1</v>
      </c>
      <c r="AC1" s="5">
        <v>1</v>
      </c>
      <c r="AD1" s="5">
        <v>1</v>
      </c>
      <c r="AE1" s="5">
        <v>1</v>
      </c>
      <c r="AF1" s="5">
        <v>1</v>
      </c>
      <c r="AG1" s="5">
        <v>1</v>
      </c>
      <c r="AH1" s="5">
        <v>1</v>
      </c>
      <c r="AI1" s="5">
        <v>1</v>
      </c>
      <c r="AJ1" s="5">
        <v>1</v>
      </c>
      <c r="AK1" s="5">
        <v>1</v>
      </c>
      <c r="AL1" s="5">
        <v>1</v>
      </c>
      <c r="AM1" s="5">
        <v>1</v>
      </c>
      <c r="AN1" s="5">
        <v>1</v>
      </c>
      <c r="AO1" s="5">
        <v>1</v>
      </c>
      <c r="AP1" s="5">
        <v>1</v>
      </c>
      <c r="AQ1" s="5">
        <v>1</v>
      </c>
      <c r="AR1" s="5">
        <v>1</v>
      </c>
      <c r="AS1" s="5">
        <v>1</v>
      </c>
      <c r="AT1" s="5">
        <v>1</v>
      </c>
      <c r="AU1" s="5">
        <v>1</v>
      </c>
      <c r="AV1" s="5">
        <v>1</v>
      </c>
      <c r="AW1" s="5">
        <v>1</v>
      </c>
    </row>
    <row r="2" spans="2:49" x14ac:dyDescent="0.2">
      <c r="C2" s="7">
        <v>1</v>
      </c>
      <c r="D2" s="7">
        <v>1.0986122886681098</v>
      </c>
      <c r="G2" s="1">
        <v>12.952755853670425</v>
      </c>
      <c r="J2" s="16">
        <f t="shared" ref="J2:J34" si="0">$Q$18+$Q$19*D2</f>
        <v>12.839153758307479</v>
      </c>
      <c r="M2" s="17">
        <f t="shared" ref="M2:M34" si="1">(G2-J2)^2</f>
        <v>1.2905436070851919E-2</v>
      </c>
      <c r="P2" s="5">
        <v>0.69314718055994529</v>
      </c>
      <c r="Q2" s="5">
        <v>1.0986122886681098</v>
      </c>
      <c r="R2" s="5">
        <v>1.3862943611198906</v>
      </c>
      <c r="S2" s="5">
        <v>1.6094379124341003</v>
      </c>
      <c r="T2" s="5">
        <v>1.791759469228055</v>
      </c>
      <c r="U2" s="5">
        <v>1.9459101490553132</v>
      </c>
      <c r="V2" s="5">
        <v>2.0794415416798357</v>
      </c>
      <c r="W2" s="5">
        <v>2.1972245773362196</v>
      </c>
      <c r="X2" s="5">
        <v>2.3025850929940459</v>
      </c>
      <c r="Y2" s="5">
        <v>2.3978952727983707</v>
      </c>
      <c r="Z2" s="5">
        <v>2.4849066497880004</v>
      </c>
      <c r="AA2" s="5">
        <v>2.5649493574615367</v>
      </c>
      <c r="AB2" s="5">
        <v>2.6390573296152584</v>
      </c>
      <c r="AC2" s="5">
        <v>2.7080502011022101</v>
      </c>
      <c r="AD2" s="5">
        <v>2.7725887222397811</v>
      </c>
      <c r="AE2" s="5">
        <v>2.8332133440562162</v>
      </c>
      <c r="AF2" s="5">
        <v>2.8903717578961645</v>
      </c>
      <c r="AG2" s="5">
        <v>2.9444389791664403</v>
      </c>
      <c r="AH2" s="5">
        <v>2.9957322735539909</v>
      </c>
      <c r="AI2" s="5">
        <v>3.044522437723423</v>
      </c>
      <c r="AJ2" s="5">
        <v>3.0910424533583161</v>
      </c>
      <c r="AK2" s="5">
        <v>3.1354942159291497</v>
      </c>
      <c r="AL2" s="5">
        <v>3.1780538303479458</v>
      </c>
      <c r="AM2" s="5">
        <v>3.2188758248682006</v>
      </c>
      <c r="AN2" s="5">
        <v>3.2580965380214821</v>
      </c>
      <c r="AO2" s="5">
        <v>3.2958368660043291</v>
      </c>
      <c r="AP2" s="5">
        <v>3.3322045101752038</v>
      </c>
      <c r="AQ2" s="5">
        <v>3.3672958299864741</v>
      </c>
      <c r="AR2" s="5">
        <v>3.4011973816621555</v>
      </c>
      <c r="AS2" s="5">
        <v>3.4339872044851463</v>
      </c>
      <c r="AT2" s="5">
        <v>3.4657359027997265</v>
      </c>
      <c r="AU2" s="5">
        <v>3.4965075614664802</v>
      </c>
      <c r="AV2" s="5">
        <v>3.5263605246161616</v>
      </c>
      <c r="AW2" s="5">
        <v>3.5553480614894135</v>
      </c>
    </row>
    <row r="3" spans="2:49" x14ac:dyDescent="0.2">
      <c r="C3" s="7">
        <v>1</v>
      </c>
      <c r="D3" s="7">
        <v>1.3862943611198906</v>
      </c>
      <c r="G3" s="1">
        <v>12.972285094102487</v>
      </c>
      <c r="J3" s="16">
        <f t="shared" si="0"/>
        <v>12.920662693395077</v>
      </c>
      <c r="M3" s="17">
        <f t="shared" si="1"/>
        <v>2.6648722547964478E-3</v>
      </c>
    </row>
    <row r="4" spans="2:49" x14ac:dyDescent="0.2">
      <c r="C4" s="7">
        <v>1</v>
      </c>
      <c r="D4" s="7">
        <v>1.6094379124341003</v>
      </c>
      <c r="G4" s="1">
        <v>13.104133824178101</v>
      </c>
      <c r="J4" s="16">
        <f t="shared" si="0"/>
        <v>12.983885935233808</v>
      </c>
      <c r="M4" s="17">
        <f t="shared" si="1"/>
        <v>1.445955479555909E-2</v>
      </c>
      <c r="O4" s="11" t="s">
        <v>66</v>
      </c>
      <c r="P4" s="10"/>
      <c r="Q4" s="7"/>
      <c r="R4" s="7"/>
    </row>
    <row r="5" spans="2:49" x14ac:dyDescent="0.2">
      <c r="C5" s="7">
        <v>1</v>
      </c>
      <c r="D5" s="7">
        <v>1.791759469228055</v>
      </c>
      <c r="G5" s="1">
        <v>12.993865921803042</v>
      </c>
      <c r="J5" s="16">
        <f t="shared" si="0"/>
        <v>13.035543085125481</v>
      </c>
      <c r="M5" s="17">
        <f t="shared" si="1"/>
        <v>1.7369859426051883E-3</v>
      </c>
      <c r="P5" s="5"/>
      <c r="Q5" cm="1">
        <f t="array" ref="Q5:R6">MMULT(_xlfn.ANCHORARRAY(P1),C1:D34)</f>
        <v>34</v>
      </c>
      <c r="R5">
        <v>92.136175603687107</v>
      </c>
    </row>
    <row r="6" spans="2:49" x14ac:dyDescent="0.2">
      <c r="C6" s="7">
        <v>1</v>
      </c>
      <c r="D6" s="7">
        <v>1.9459101490553132</v>
      </c>
      <c r="G6" s="1">
        <v>13.021871214286383</v>
      </c>
      <c r="J6" s="16">
        <f t="shared" si="0"/>
        <v>13.07921858304117</v>
      </c>
      <c r="M6" s="17">
        <f t="shared" si="1"/>
        <v>3.2887207030974906E-3</v>
      </c>
      <c r="P6" s="5"/>
      <c r="Q6">
        <v>92.136175603687107</v>
      </c>
      <c r="R6">
        <v>267.87395346336501</v>
      </c>
    </row>
    <row r="7" spans="2:49" x14ac:dyDescent="0.2">
      <c r="C7" s="7">
        <v>1</v>
      </c>
      <c r="D7" s="7">
        <v>2.0794415416798357</v>
      </c>
      <c r="G7" s="1">
        <v>13.049462307420328</v>
      </c>
      <c r="J7" s="16">
        <f t="shared" si="0"/>
        <v>13.117052020213078</v>
      </c>
      <c r="M7" s="17">
        <f t="shared" si="1"/>
        <v>4.5683692754065605E-3</v>
      </c>
    </row>
    <row r="8" spans="2:49" x14ac:dyDescent="0.2">
      <c r="C8" s="7">
        <v>1</v>
      </c>
      <c r="D8" s="7">
        <v>2.1972245773362196</v>
      </c>
      <c r="G8" s="1">
        <v>13.174507339871171</v>
      </c>
      <c r="J8" s="16">
        <f t="shared" si="0"/>
        <v>13.150423476855883</v>
      </c>
      <c r="M8" s="17">
        <f t="shared" si="1"/>
        <v>5.800324577391881E-4</v>
      </c>
    </row>
    <row r="9" spans="2:49" x14ac:dyDescent="0.2">
      <c r="C9" s="7">
        <v>1</v>
      </c>
      <c r="D9" s="7">
        <v>2.3025850929940459</v>
      </c>
      <c r="G9" s="1">
        <v>13.070608502820818</v>
      </c>
      <c r="J9" s="16">
        <f t="shared" si="0"/>
        <v>13.18027526205181</v>
      </c>
      <c r="M9" s="17">
        <f t="shared" si="1"/>
        <v>1.2026798080228298E-2</v>
      </c>
      <c r="O9" s="11" t="s">
        <v>68</v>
      </c>
      <c r="P9" s="6" cm="1">
        <f t="array" ref="P9:Q10">MINVERSE(_xlfn.ANCHORARRAY(Q5))</f>
        <v>0.43300488610185689</v>
      </c>
      <c r="Q9" s="6">
        <v>-0.14893353275794097</v>
      </c>
    </row>
    <row r="10" spans="2:49" x14ac:dyDescent="0.2">
      <c r="C10" s="7">
        <v>1</v>
      </c>
      <c r="D10" s="7">
        <v>2.3978952727983707</v>
      </c>
      <c r="G10" s="1">
        <v>13.101050257888947</v>
      </c>
      <c r="J10" s="16">
        <f t="shared" si="0"/>
        <v>13.207279486516162</v>
      </c>
      <c r="M10" s="17">
        <f t="shared" si="1"/>
        <v>1.1284649014733271E-2</v>
      </c>
      <c r="P10" s="6">
        <v>-0.14893353275794094</v>
      </c>
      <c r="Q10" s="6">
        <v>5.4959304318762621E-2</v>
      </c>
    </row>
    <row r="11" spans="2:49" x14ac:dyDescent="0.2">
      <c r="C11" s="7">
        <v>1</v>
      </c>
      <c r="D11" s="7">
        <v>2.4849066497880004</v>
      </c>
      <c r="G11" s="1">
        <v>13.129614623458522</v>
      </c>
      <c r="J11" s="16">
        <f t="shared" si="0"/>
        <v>13.231932411943482</v>
      </c>
      <c r="M11" s="17">
        <f t="shared" si="1"/>
        <v>1.0468929840453054E-2</v>
      </c>
    </row>
    <row r="12" spans="2:49" x14ac:dyDescent="0.2">
      <c r="C12" s="7">
        <v>1</v>
      </c>
      <c r="D12" s="7">
        <v>2.5649493574615367</v>
      </c>
      <c r="G12" s="1">
        <v>13.251628155962162</v>
      </c>
      <c r="J12" s="16">
        <f t="shared" si="0"/>
        <v>13.254610904935399</v>
      </c>
      <c r="M12" s="17">
        <f t="shared" si="1"/>
        <v>8.8967914373438846E-6</v>
      </c>
      <c r="O12" s="11" t="s">
        <v>67</v>
      </c>
      <c r="P12" s="10"/>
      <c r="Q12" s="1"/>
    </row>
    <row r="13" spans="2:49" x14ac:dyDescent="0.2">
      <c r="C13" s="7">
        <v>1</v>
      </c>
      <c r="D13" s="7">
        <v>2.6390573296152584</v>
      </c>
      <c r="G13" s="1">
        <v>13.141596234569194</v>
      </c>
      <c r="J13" s="16">
        <f t="shared" si="0"/>
        <v>13.275607909859172</v>
      </c>
      <c r="M13" s="17">
        <f t="shared" si="1"/>
        <v>1.7959129114026452E-2</v>
      </c>
      <c r="P13" s="8"/>
      <c r="Q13" s="9" cm="1">
        <f t="array" ref="Q13:Q14">MMULT(_xlfn.ANCHORARRAY(P1),G1:G34)</f>
        <v>452.0529914983718</v>
      </c>
    </row>
    <row r="14" spans="2:49" x14ac:dyDescent="0.2">
      <c r="C14" s="7">
        <v>1</v>
      </c>
      <c r="D14" s="7">
        <v>2.7080502011022101</v>
      </c>
      <c r="G14" s="1">
        <v>13.067174716444447</v>
      </c>
      <c r="J14" s="16">
        <f t="shared" si="0"/>
        <v>13.295155653782214</v>
      </c>
      <c r="M14" s="17">
        <f t="shared" si="1"/>
        <v>5.1975307789406858E-2</v>
      </c>
      <c r="P14" s="8"/>
      <c r="Q14" s="9">
        <v>1230.1680263891301</v>
      </c>
    </row>
    <row r="15" spans="2:49" x14ac:dyDescent="0.2">
      <c r="C15" s="7">
        <v>1</v>
      </c>
      <c r="D15" s="7">
        <v>2.7725887222397811</v>
      </c>
      <c r="G15" s="1">
        <v>13.156543330322787</v>
      </c>
      <c r="J15" s="16">
        <f t="shared" si="0"/>
        <v>13.31344134703108</v>
      </c>
      <c r="M15" s="17">
        <f t="shared" si="1"/>
        <v>2.4616987646995915E-2</v>
      </c>
    </row>
    <row r="16" spans="2:49" x14ac:dyDescent="0.2">
      <c r="C16" s="7">
        <v>1</v>
      </c>
      <c r="D16" s="7">
        <v>2.8332133440562162</v>
      </c>
      <c r="G16" s="1">
        <v>13.278650459213125</v>
      </c>
      <c r="J16" s="16">
        <f t="shared" si="0"/>
        <v>13.330618115545825</v>
      </c>
      <c r="M16" s="17">
        <f t="shared" si="1"/>
        <v>2.7006373047135748E-3</v>
      </c>
    </row>
    <row r="17" spans="3:18" x14ac:dyDescent="0.2">
      <c r="C17" s="7">
        <v>1</v>
      </c>
      <c r="D17" s="7">
        <v>2.8903717578961645</v>
      </c>
      <c r="G17" s="1">
        <v>13.182568899646098</v>
      </c>
      <c r="J17" s="16">
        <f t="shared" si="0"/>
        <v>13.346812803673885</v>
      </c>
      <c r="M17" s="17">
        <f t="shared" si="1"/>
        <v>2.6976060010288832E-2</v>
      </c>
      <c r="O17" s="11" t="s">
        <v>69</v>
      </c>
      <c r="P17" s="10"/>
      <c r="Q17" s="9"/>
    </row>
    <row r="18" spans="3:18" x14ac:dyDescent="0.2">
      <c r="C18" s="7">
        <v>1</v>
      </c>
      <c r="D18" s="7">
        <v>2.9444389791664403</v>
      </c>
      <c r="G18" s="1">
        <v>13.214849026520325</v>
      </c>
      <c r="J18" s="16">
        <f t="shared" si="0"/>
        <v>13.362131664495928</v>
      </c>
      <c r="M18" s="17">
        <f t="shared" si="1"/>
        <v>2.1692175449052709E-2</v>
      </c>
      <c r="P18" s="12" t="s">
        <v>70</v>
      </c>
      <c r="Q18" s="13" cm="1">
        <f t="array" ref="Q18:Q19">MMULT(_xlfn.ANCHORARRAY(P9),_xlfn.ANCHORARRAY(Q13))</f>
        <v>12.527884039759073</v>
      </c>
    </row>
    <row r="19" spans="3:18" x14ac:dyDescent="0.2">
      <c r="C19" s="7">
        <v>1</v>
      </c>
      <c r="D19" s="7">
        <v>2.9957322735539909</v>
      </c>
      <c r="G19" s="1">
        <v>13.279401142729442</v>
      </c>
      <c r="J19" s="16">
        <f t="shared" si="0"/>
        <v>13.376664588869811</v>
      </c>
      <c r="M19" s="17">
        <f t="shared" si="1"/>
        <v>9.4601779551004555E-3</v>
      </c>
      <c r="P19" s="12" t="s">
        <v>71</v>
      </c>
      <c r="Q19" s="13">
        <v>0.28332990788385359</v>
      </c>
    </row>
    <row r="20" spans="3:18" x14ac:dyDescent="0.2">
      <c r="C20" s="7">
        <v>1</v>
      </c>
      <c r="D20" s="7">
        <v>3.044522437723423</v>
      </c>
      <c r="G20" s="1">
        <v>13.393784504394075</v>
      </c>
      <c r="J20" s="16">
        <f t="shared" si="0"/>
        <v>13.390488301589576</v>
      </c>
      <c r="M20" s="17">
        <f t="shared" si="1"/>
        <v>1.0864952928388126E-5</v>
      </c>
    </row>
    <row r="21" spans="3:18" x14ac:dyDescent="0.2">
      <c r="C21" s="7">
        <v>1</v>
      </c>
      <c r="D21" s="7">
        <v>3.0910424533583161</v>
      </c>
      <c r="G21" s="1">
        <v>13.342291845874163</v>
      </c>
      <c r="J21" s="16">
        <f t="shared" si="0"/>
        <v>13.403668813334166</v>
      </c>
      <c r="M21" s="17">
        <f t="shared" si="1"/>
        <v>3.7671321345862517E-3</v>
      </c>
      <c r="O21" s="11" t="s">
        <v>74</v>
      </c>
      <c r="P21" s="18">
        <f>SUM(M1:M34) / (COUNT(M1:M34) - 2)</f>
        <v>1.272544750544331E-2</v>
      </c>
    </row>
    <row r="22" spans="3:18" x14ac:dyDescent="0.2">
      <c r="C22" s="7">
        <v>1</v>
      </c>
      <c r="D22" s="7">
        <v>3.1354942159291497</v>
      </c>
      <c r="G22" s="1">
        <v>13.380782485350267</v>
      </c>
      <c r="J22" s="16">
        <f t="shared" si="0"/>
        <v>13.416263327128634</v>
      </c>
      <c r="M22" s="17">
        <f t="shared" si="1"/>
        <v>1.2588901333015581E-3</v>
      </c>
    </row>
    <row r="23" spans="3:18" x14ac:dyDescent="0.2">
      <c r="C23" s="7">
        <v>1</v>
      </c>
      <c r="D23" s="7">
        <v>3.1780538303479458</v>
      </c>
      <c r="G23" s="1">
        <v>13.462023384823803</v>
      </c>
      <c r="J23" s="16">
        <f t="shared" si="0"/>
        <v>13.428321738761484</v>
      </c>
      <c r="M23" s="17">
        <f t="shared" si="1"/>
        <v>1.1358009473098189E-3</v>
      </c>
      <c r="O23" s="11" t="s">
        <v>75</v>
      </c>
      <c r="P23" s="10"/>
      <c r="Q23" s="6"/>
      <c r="R23" s="6"/>
    </row>
    <row r="24" spans="3:18" x14ac:dyDescent="0.2">
      <c r="C24" s="7">
        <v>1</v>
      </c>
      <c r="D24" s="7">
        <v>3.2188758248682006</v>
      </c>
      <c r="G24" s="1">
        <v>13.584305852677979</v>
      </c>
      <c r="J24" s="16">
        <f t="shared" si="0"/>
        <v>13.439887830708543</v>
      </c>
      <c r="M24" s="17">
        <f t="shared" si="1"/>
        <v>2.0856565069564494E-2</v>
      </c>
      <c r="P24" s="18" t="s">
        <v>85</v>
      </c>
      <c r="Q24" s="20">
        <f>$P$21*P9</f>
        <v>5.5101809476896394E-3</v>
      </c>
      <c r="R24" s="20">
        <f>$P$21*Q9</f>
        <v>-1.8952458529113993E-3</v>
      </c>
    </row>
    <row r="25" spans="3:18" x14ac:dyDescent="0.2">
      <c r="C25" s="7">
        <v>1</v>
      </c>
      <c r="D25" s="7">
        <v>3.2580965380214821</v>
      </c>
      <c r="G25" s="1">
        <v>13.490473806234547</v>
      </c>
      <c r="J25" s="16">
        <f t="shared" si="0"/>
        <v>13.451000231753401</v>
      </c>
      <c r="M25" s="17">
        <f t="shared" si="1"/>
        <v>1.5581630823186044E-3</v>
      </c>
      <c r="Q25" s="20">
        <f>$P$21*P10</f>
        <v>-1.8952458529113989E-3</v>
      </c>
      <c r="R25" s="20">
        <f>$P$21*Q10</f>
        <v>6.993817420440975E-4</v>
      </c>
    </row>
    <row r="26" spans="3:18" x14ac:dyDescent="0.2">
      <c r="C26" s="7">
        <v>1</v>
      </c>
      <c r="D26" s="7">
        <v>3.2958368660043291</v>
      </c>
      <c r="G26" s="1">
        <v>13.520835290021509</v>
      </c>
      <c r="J26" s="16">
        <f t="shared" si="0"/>
        <v>13.461693195404289</v>
      </c>
      <c r="M26" s="17">
        <f t="shared" si="1"/>
        <v>3.4977873557122392E-3</v>
      </c>
    </row>
    <row r="27" spans="3:18" x14ac:dyDescent="0.2">
      <c r="C27" s="7">
        <v>1</v>
      </c>
      <c r="D27" s="7">
        <v>3.3322045101752038</v>
      </c>
      <c r="G27" s="1">
        <v>13.541951484802192</v>
      </c>
      <c r="J27" s="16">
        <f t="shared" si="0"/>
        <v>13.471997236677176</v>
      </c>
      <c r="M27" s="17">
        <f t="shared" si="1"/>
        <v>4.8935968307363895E-3</v>
      </c>
      <c r="O27" s="11" t="s">
        <v>76</v>
      </c>
      <c r="P27" s="21">
        <f>SQRT(Q24)</f>
        <v>7.4230593071116166E-2</v>
      </c>
      <c r="Q27" s="20" t="e">
        <f>SQRT(R24)</f>
        <v>#NUM!</v>
      </c>
      <c r="R27" s="13" t="s">
        <v>77</v>
      </c>
    </row>
    <row r="28" spans="3:18" x14ac:dyDescent="0.2">
      <c r="C28" s="7">
        <v>1</v>
      </c>
      <c r="D28" s="7">
        <v>3.3672958299864741</v>
      </c>
      <c r="G28" s="1">
        <v>13.662351686132821</v>
      </c>
      <c r="J28" s="16">
        <f t="shared" si="0"/>
        <v>13.481939657086825</v>
      </c>
      <c r="M28" s="17">
        <f t="shared" si="1"/>
        <v>3.2548500224493411E-2</v>
      </c>
      <c r="P28" s="20" t="e">
        <f>SQRT(Q25)</f>
        <v>#NUM!</v>
      </c>
      <c r="Q28" s="21">
        <f>SQRT(R25)</f>
        <v>2.6445826552484564E-2</v>
      </c>
      <c r="R28" s="13" t="s">
        <v>78</v>
      </c>
    </row>
    <row r="29" spans="3:18" x14ac:dyDescent="0.2">
      <c r="C29" s="7">
        <v>1</v>
      </c>
      <c r="D29" s="7">
        <v>3.4011973816621555</v>
      </c>
      <c r="G29" s="1">
        <v>13.525352088437458</v>
      </c>
      <c r="J29" s="16">
        <f t="shared" si="0"/>
        <v>13.491544980600215</v>
      </c>
      <c r="M29" s="17">
        <f t="shared" si="1"/>
        <v>1.1429205403189508E-3</v>
      </c>
    </row>
    <row r="30" spans="3:18" x14ac:dyDescent="0.2">
      <c r="C30" s="7">
        <v>1</v>
      </c>
      <c r="D30" s="7">
        <v>3.4339872044851463</v>
      </c>
      <c r="G30" s="1">
        <v>13.556807184251451</v>
      </c>
      <c r="J30" s="16">
        <f t="shared" si="0"/>
        <v>13.500835318080181</v>
      </c>
      <c r="M30" s="17">
        <f t="shared" si="1"/>
        <v>3.1328498026944882E-3</v>
      </c>
      <c r="O30" s="11" t="s">
        <v>86</v>
      </c>
      <c r="P30" s="22">
        <f>Q18/P27</f>
        <v>168.76982281088351</v>
      </c>
    </row>
    <row r="31" spans="3:18" x14ac:dyDescent="0.2">
      <c r="C31" s="7">
        <v>1</v>
      </c>
      <c r="D31" s="7">
        <v>3.4657359027997265</v>
      </c>
      <c r="G31" s="1">
        <v>13.60203004376309</v>
      </c>
      <c r="J31" s="16">
        <f t="shared" si="0"/>
        <v>13.509830673849084</v>
      </c>
      <c r="M31" s="17">
        <f t="shared" si="1"/>
        <v>8.5007238125397178E-3</v>
      </c>
      <c r="P31" s="22">
        <f>Q19/Q28</f>
        <v>10.713596238769666</v>
      </c>
    </row>
    <row r="32" spans="3:18" x14ac:dyDescent="0.2">
      <c r="C32" s="7">
        <v>1</v>
      </c>
      <c r="D32" s="7">
        <v>3.4965075614664802</v>
      </c>
      <c r="G32" s="1">
        <v>13.733485637003412</v>
      </c>
      <c r="J32" s="16">
        <f t="shared" si="0"/>
        <v>13.518549205064568</v>
      </c>
      <c r="M32" s="17">
        <f t="shared" si="1"/>
        <v>4.6197669774601144E-2</v>
      </c>
    </row>
    <row r="33" spans="3:16" x14ac:dyDescent="0.2">
      <c r="C33" s="7">
        <v>1</v>
      </c>
      <c r="D33" s="7">
        <v>3.5263605246161616</v>
      </c>
      <c r="G33" s="1">
        <v>13.57387520734336</v>
      </c>
      <c r="J33" s="16">
        <f t="shared" si="0"/>
        <v>13.527007442363827</v>
      </c>
      <c r="M33" s="17">
        <f t="shared" si="1"/>
        <v>2.1965873941767232E-3</v>
      </c>
      <c r="O33" s="11" t="s">
        <v>87</v>
      </c>
      <c r="P33" s="22">
        <f>_xlfn.T.DIST.2T(P30,COUNT(G1:G34)-2)</f>
        <v>8.8586212432049617E-49</v>
      </c>
    </row>
    <row r="34" spans="3:16" x14ac:dyDescent="0.2">
      <c r="C34" s="7">
        <v>1</v>
      </c>
      <c r="D34" s="7">
        <v>3.5553480614894135</v>
      </c>
      <c r="G34" s="1">
        <v>13.61314109819652</v>
      </c>
      <c r="J34" s="16">
        <f t="shared" si="0"/>
        <v>13.535220478515905</v>
      </c>
      <c r="M34" s="17">
        <f t="shared" si="1"/>
        <v>6.071622971411051E-3</v>
      </c>
      <c r="P34" s="22">
        <f>_xlfn.T.DIST.2T(P31,COUNT(G1:G34)-2)</f>
        <v>4.0883927296691866E-12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4DC3-6799-304A-BF37-A599D371EDBB}">
  <dimension ref="B1:AW34"/>
  <sheetViews>
    <sheetView topLeftCell="H4" workbookViewId="0">
      <selection activeCell="H11" sqref="H11"/>
    </sheetView>
  </sheetViews>
  <sheetFormatPr baseColWidth="10" defaultRowHeight="16" x14ac:dyDescent="0.2"/>
  <cols>
    <col min="2" max="2" width="15.1640625" bestFit="1" customWidth="1"/>
    <col min="3" max="3" width="2.1640625" bestFit="1" customWidth="1"/>
    <col min="4" max="4" width="3.1640625" bestFit="1" customWidth="1"/>
    <col min="6" max="6" width="4.83203125" bestFit="1" customWidth="1"/>
    <col min="7" max="7" width="9.6640625" style="15" bestFit="1" customWidth="1"/>
    <col min="8" max="8" width="9.1640625" customWidth="1"/>
    <col min="9" max="9" width="7.33203125" bestFit="1" customWidth="1"/>
    <col min="10" max="10" width="9.6640625" style="15" bestFit="1" customWidth="1"/>
    <col min="11" max="11" width="9.1640625" customWidth="1"/>
    <col min="12" max="12" width="15.6640625" bestFit="1" customWidth="1"/>
    <col min="13" max="13" width="14.6640625" style="15" bestFit="1" customWidth="1"/>
    <col min="14" max="14" width="6.1640625" bestFit="1" customWidth="1"/>
    <col min="15" max="15" width="88.6640625" bestFit="1" customWidth="1"/>
    <col min="16" max="17" width="12.83203125" bestFit="1" customWidth="1"/>
    <col min="18" max="18" width="10.6640625" bestFit="1" customWidth="1"/>
    <col min="19" max="23" width="2.1640625" bestFit="1" customWidth="1"/>
    <col min="24" max="49" width="3.1640625" bestFit="1" customWidth="1"/>
  </cols>
  <sheetData>
    <row r="1" spans="2:49" x14ac:dyDescent="0.2">
      <c r="B1" s="11" t="s">
        <v>64</v>
      </c>
      <c r="C1" s="7">
        <v>1</v>
      </c>
      <c r="D1" s="7">
        <v>2</v>
      </c>
      <c r="F1" s="11" t="s">
        <v>37</v>
      </c>
      <c r="G1" s="1">
        <v>12.92693299415741</v>
      </c>
      <c r="I1" s="11" t="s">
        <v>72</v>
      </c>
      <c r="J1" s="16">
        <f>$Q$18+$Q$19*D1</f>
        <v>12.917668494256771</v>
      </c>
      <c r="L1" s="11" t="s">
        <v>73</v>
      </c>
      <c r="M1" s="17">
        <f>(G1-J1)^2</f>
        <v>8.5830958408924417E-5</v>
      </c>
      <c r="O1" s="11" t="s">
        <v>65</v>
      </c>
      <c r="P1" s="5" cm="1">
        <f t="array" ref="P1:AW2">TRANSPOSE(C1:D34)</f>
        <v>1</v>
      </c>
      <c r="Q1" s="5">
        <v>1</v>
      </c>
      <c r="R1" s="5">
        <v>1</v>
      </c>
      <c r="S1" s="5">
        <v>1</v>
      </c>
      <c r="T1" s="5">
        <v>1</v>
      </c>
      <c r="U1" s="5">
        <v>1</v>
      </c>
      <c r="V1" s="5">
        <v>1</v>
      </c>
      <c r="W1" s="5">
        <v>1</v>
      </c>
      <c r="X1" s="5">
        <v>1</v>
      </c>
      <c r="Y1" s="5">
        <v>1</v>
      </c>
      <c r="Z1" s="5">
        <v>1</v>
      </c>
      <c r="AA1" s="5">
        <v>1</v>
      </c>
      <c r="AB1" s="5">
        <v>1</v>
      </c>
      <c r="AC1" s="5">
        <v>1</v>
      </c>
      <c r="AD1" s="5">
        <v>1</v>
      </c>
      <c r="AE1" s="5">
        <v>1</v>
      </c>
      <c r="AF1" s="5">
        <v>1</v>
      </c>
      <c r="AG1" s="5">
        <v>1</v>
      </c>
      <c r="AH1" s="5">
        <v>1</v>
      </c>
      <c r="AI1" s="5">
        <v>1</v>
      </c>
      <c r="AJ1" s="5">
        <v>1</v>
      </c>
      <c r="AK1" s="5">
        <v>1</v>
      </c>
      <c r="AL1" s="5">
        <v>1</v>
      </c>
      <c r="AM1" s="5">
        <v>1</v>
      </c>
      <c r="AN1" s="5">
        <v>1</v>
      </c>
      <c r="AO1" s="5">
        <v>1</v>
      </c>
      <c r="AP1" s="5">
        <v>1</v>
      </c>
      <c r="AQ1" s="5">
        <v>1</v>
      </c>
      <c r="AR1" s="5">
        <v>1</v>
      </c>
      <c r="AS1" s="5">
        <v>1</v>
      </c>
      <c r="AT1" s="5">
        <v>1</v>
      </c>
      <c r="AU1" s="5">
        <v>1</v>
      </c>
      <c r="AV1" s="5">
        <v>1</v>
      </c>
      <c r="AW1" s="5">
        <v>1</v>
      </c>
    </row>
    <row r="2" spans="2:49" x14ac:dyDescent="0.2">
      <c r="C2" s="7">
        <v>1</v>
      </c>
      <c r="D2" s="7">
        <v>3</v>
      </c>
      <c r="G2" s="1">
        <v>12.952755853670425</v>
      </c>
      <c r="J2" s="16">
        <f t="shared" ref="J2:J34" si="0">$Q$18+$Q$19*D2</f>
        <v>12.940578053425472</v>
      </c>
      <c r="M2" s="17">
        <f t="shared" ref="M2:M34" si="1">(G2-J2)^2</f>
        <v>1.4829881880596294E-4</v>
      </c>
      <c r="P2" s="5">
        <v>2</v>
      </c>
      <c r="Q2" s="5">
        <v>3</v>
      </c>
      <c r="R2" s="5">
        <v>4</v>
      </c>
      <c r="S2" s="5">
        <v>5</v>
      </c>
      <c r="T2" s="5">
        <v>6</v>
      </c>
      <c r="U2" s="5">
        <v>7</v>
      </c>
      <c r="V2" s="5">
        <v>8</v>
      </c>
      <c r="W2" s="5">
        <v>9</v>
      </c>
      <c r="X2" s="5">
        <v>10</v>
      </c>
      <c r="Y2" s="5">
        <v>11</v>
      </c>
      <c r="Z2" s="5">
        <v>12</v>
      </c>
      <c r="AA2" s="5">
        <v>13</v>
      </c>
      <c r="AB2" s="5">
        <v>14</v>
      </c>
      <c r="AC2" s="5">
        <v>15</v>
      </c>
      <c r="AD2" s="5">
        <v>16</v>
      </c>
      <c r="AE2" s="5">
        <v>17</v>
      </c>
      <c r="AF2" s="5">
        <v>18</v>
      </c>
      <c r="AG2" s="5">
        <v>19</v>
      </c>
      <c r="AH2" s="5">
        <v>20</v>
      </c>
      <c r="AI2" s="5">
        <v>21</v>
      </c>
      <c r="AJ2" s="5">
        <v>22</v>
      </c>
      <c r="AK2" s="5">
        <v>23</v>
      </c>
      <c r="AL2" s="5">
        <v>24</v>
      </c>
      <c r="AM2" s="5">
        <v>25</v>
      </c>
      <c r="AN2" s="5">
        <v>26</v>
      </c>
      <c r="AO2" s="5">
        <v>27</v>
      </c>
      <c r="AP2" s="5">
        <v>28</v>
      </c>
      <c r="AQ2" s="5">
        <v>29</v>
      </c>
      <c r="AR2" s="5">
        <v>30</v>
      </c>
      <c r="AS2" s="5">
        <v>31</v>
      </c>
      <c r="AT2" s="5">
        <v>32</v>
      </c>
      <c r="AU2" s="5">
        <v>33</v>
      </c>
      <c r="AV2" s="5">
        <v>34</v>
      </c>
      <c r="AW2" s="5">
        <v>35</v>
      </c>
    </row>
    <row r="3" spans="2:49" x14ac:dyDescent="0.2">
      <c r="C3" s="7">
        <v>1</v>
      </c>
      <c r="D3" s="7">
        <v>4</v>
      </c>
      <c r="G3" s="1">
        <v>12.972285094102487</v>
      </c>
      <c r="J3" s="16">
        <f t="shared" si="0"/>
        <v>12.963487612594175</v>
      </c>
      <c r="M3" s="17">
        <f t="shared" si="1"/>
        <v>7.7395680889088642E-5</v>
      </c>
    </row>
    <row r="4" spans="2:49" x14ac:dyDescent="0.2">
      <c r="C4" s="7">
        <v>1</v>
      </c>
      <c r="D4" s="7">
        <v>5</v>
      </c>
      <c r="G4" s="1">
        <v>13.104133824178101</v>
      </c>
      <c r="J4" s="16">
        <f t="shared" si="0"/>
        <v>12.986397171762878</v>
      </c>
      <c r="M4" s="17">
        <f t="shared" si="1"/>
        <v>1.386191932194304E-2</v>
      </c>
      <c r="O4" s="11" t="s">
        <v>66</v>
      </c>
      <c r="P4" s="10"/>
      <c r="Q4" s="7"/>
      <c r="R4" s="7"/>
    </row>
    <row r="5" spans="2:49" x14ac:dyDescent="0.2">
      <c r="C5" s="7">
        <v>1</v>
      </c>
      <c r="D5" s="7">
        <v>6</v>
      </c>
      <c r="G5" s="1">
        <v>12.993865921803042</v>
      </c>
      <c r="J5" s="16">
        <f t="shared" si="0"/>
        <v>13.009306730931579</v>
      </c>
      <c r="M5" s="17">
        <f t="shared" si="1"/>
        <v>2.3841858654389655E-4</v>
      </c>
      <c r="P5" s="5"/>
      <c r="Q5" cm="1">
        <f t="array" ref="Q5:R6">MMULT(_xlfn.ANCHORARRAY(P1),C1:D34)</f>
        <v>34</v>
      </c>
      <c r="R5">
        <v>629</v>
      </c>
    </row>
    <row r="6" spans="2:49" x14ac:dyDescent="0.2">
      <c r="C6" s="7">
        <v>1</v>
      </c>
      <c r="D6" s="7">
        <v>7</v>
      </c>
      <c r="G6" s="1">
        <v>13.021871214286383</v>
      </c>
      <c r="J6" s="16">
        <f t="shared" si="0"/>
        <v>13.03221629010028</v>
      </c>
      <c r="M6" s="17">
        <f t="shared" si="1"/>
        <v>1.0702059359526721E-4</v>
      </c>
      <c r="P6" s="5"/>
      <c r="Q6">
        <v>629</v>
      </c>
      <c r="R6">
        <v>14909</v>
      </c>
    </row>
    <row r="7" spans="2:49" x14ac:dyDescent="0.2">
      <c r="C7" s="7">
        <v>1</v>
      </c>
      <c r="D7" s="7">
        <v>8</v>
      </c>
      <c r="G7" s="1">
        <v>13.049462307420328</v>
      </c>
      <c r="J7" s="16">
        <f t="shared" si="0"/>
        <v>13.055125849268983</v>
      </c>
      <c r="M7" s="17">
        <f t="shared" si="1"/>
        <v>3.2075706271466828E-5</v>
      </c>
    </row>
    <row r="8" spans="2:49" x14ac:dyDescent="0.2">
      <c r="C8" s="7">
        <v>1</v>
      </c>
      <c r="D8" s="7">
        <v>9</v>
      </c>
      <c r="G8" s="1">
        <v>13.174507339871171</v>
      </c>
      <c r="J8" s="16">
        <f t="shared" si="0"/>
        <v>13.078035408437685</v>
      </c>
      <c r="M8" s="17">
        <f t="shared" si="1"/>
        <v>9.3068335545072409E-3</v>
      </c>
    </row>
    <row r="9" spans="2:49" x14ac:dyDescent="0.2">
      <c r="C9" s="7">
        <v>1</v>
      </c>
      <c r="D9" s="7">
        <v>10</v>
      </c>
      <c r="G9" s="1">
        <v>13.070608502820818</v>
      </c>
      <c r="J9" s="16">
        <f t="shared" si="0"/>
        <v>13.100944967606386</v>
      </c>
      <c r="M9" s="17">
        <f t="shared" si="1"/>
        <v>9.2030109568603136E-4</v>
      </c>
      <c r="O9" s="11" t="s">
        <v>68</v>
      </c>
      <c r="P9" s="6" cm="1">
        <f t="array" ref="P9:Q10">MINVERSE(_xlfn.ANCHORARRAY(Q5))</f>
        <v>0.13399541634835746</v>
      </c>
      <c r="Q9" s="6">
        <v>-5.6531703590527093E-3</v>
      </c>
    </row>
    <row r="10" spans="2:49" x14ac:dyDescent="0.2">
      <c r="C10" s="7">
        <v>1</v>
      </c>
      <c r="D10" s="7">
        <v>11</v>
      </c>
      <c r="G10" s="1">
        <v>13.101050257888947</v>
      </c>
      <c r="J10" s="16">
        <f t="shared" si="0"/>
        <v>13.123854526775087</v>
      </c>
      <c r="M10" s="17">
        <f t="shared" si="1"/>
        <v>5.2003467943140627E-4</v>
      </c>
      <c r="P10" s="6">
        <v>-5.6531703590527093E-3</v>
      </c>
      <c r="Q10" s="6">
        <v>3.0557677616501133E-4</v>
      </c>
    </row>
    <row r="11" spans="2:49" x14ac:dyDescent="0.2">
      <c r="C11" s="7">
        <v>1</v>
      </c>
      <c r="D11" s="7">
        <v>12</v>
      </c>
      <c r="G11" s="1">
        <v>13.129614623458522</v>
      </c>
      <c r="J11" s="16">
        <f t="shared" si="0"/>
        <v>13.14676408594379</v>
      </c>
      <c r="M11" s="17">
        <f t="shared" si="1"/>
        <v>2.9410406353360487E-4</v>
      </c>
    </row>
    <row r="12" spans="2:49" x14ac:dyDescent="0.2">
      <c r="C12" s="7">
        <v>1</v>
      </c>
      <c r="D12" s="7">
        <v>13</v>
      </c>
      <c r="G12" s="1">
        <v>13.251628155962162</v>
      </c>
      <c r="J12" s="16">
        <f t="shared" si="0"/>
        <v>13.169673645112493</v>
      </c>
      <c r="M12" s="17">
        <f t="shared" si="1"/>
        <v>6.7165418486086386E-3</v>
      </c>
      <c r="O12" s="11" t="s">
        <v>67</v>
      </c>
      <c r="P12" s="10"/>
      <c r="Q12" s="1"/>
    </row>
    <row r="13" spans="2:49" x14ac:dyDescent="0.2">
      <c r="C13" s="7">
        <v>1</v>
      </c>
      <c r="D13" s="7">
        <v>14</v>
      </c>
      <c r="G13" s="1">
        <v>13.141596234569194</v>
      </c>
      <c r="J13" s="16">
        <f t="shared" si="0"/>
        <v>13.192583204281194</v>
      </c>
      <c r="M13" s="17">
        <f t="shared" si="1"/>
        <v>2.5996710804123608E-3</v>
      </c>
      <c r="P13" s="8"/>
      <c r="Q13" s="9" cm="1">
        <f t="array" ref="Q13:Q14">MMULT(_xlfn.ANCHORARRAY(P1),G1:G34)</f>
        <v>452.0529914983718</v>
      </c>
    </row>
    <row r="14" spans="2:49" x14ac:dyDescent="0.2">
      <c r="C14" s="7">
        <v>1</v>
      </c>
      <c r="D14" s="7">
        <v>15</v>
      </c>
      <c r="G14" s="1">
        <v>13.067174716444447</v>
      </c>
      <c r="J14" s="16">
        <f t="shared" si="0"/>
        <v>13.215492763449895</v>
      </c>
      <c r="M14" s="17">
        <f t="shared" si="1"/>
        <v>2.1998243067510328E-2</v>
      </c>
      <c r="P14" s="8"/>
      <c r="Q14" s="9">
        <v>8437.9518750994539</v>
      </c>
    </row>
    <row r="15" spans="2:49" x14ac:dyDescent="0.2">
      <c r="C15" s="7">
        <v>1</v>
      </c>
      <c r="D15" s="7">
        <v>16</v>
      </c>
      <c r="G15" s="1">
        <v>13.156543330322787</v>
      </c>
      <c r="J15" s="16">
        <f t="shared" si="0"/>
        <v>13.238402322618597</v>
      </c>
      <c r="M15" s="17">
        <f t="shared" si="1"/>
        <v>6.7008946196855457E-3</v>
      </c>
    </row>
    <row r="16" spans="2:49" x14ac:dyDescent="0.2">
      <c r="C16" s="7">
        <v>1</v>
      </c>
      <c r="D16" s="7">
        <v>17</v>
      </c>
      <c r="G16" s="1">
        <v>13.278650459213125</v>
      </c>
      <c r="J16" s="16">
        <f t="shared" si="0"/>
        <v>13.2613118817873</v>
      </c>
      <c r="M16" s="17">
        <f t="shared" si="1"/>
        <v>3.0062626715132858E-4</v>
      </c>
    </row>
    <row r="17" spans="3:18" x14ac:dyDescent="0.2">
      <c r="C17" s="7">
        <v>1</v>
      </c>
      <c r="D17" s="7">
        <v>18</v>
      </c>
      <c r="G17" s="1">
        <v>13.182568899646098</v>
      </c>
      <c r="J17" s="16">
        <f t="shared" si="0"/>
        <v>13.284221440956001</v>
      </c>
      <c r="M17" s="17">
        <f t="shared" si="1"/>
        <v>1.0333239154761576E-2</v>
      </c>
      <c r="O17" s="11" t="s">
        <v>69</v>
      </c>
      <c r="P17" s="10"/>
      <c r="Q17" s="9"/>
    </row>
    <row r="18" spans="3:18" x14ac:dyDescent="0.2">
      <c r="C18" s="7">
        <v>1</v>
      </c>
      <c r="D18" s="7">
        <v>19</v>
      </c>
      <c r="G18" s="1">
        <v>13.214849026520325</v>
      </c>
      <c r="J18" s="16">
        <f t="shared" si="0"/>
        <v>13.307131000124702</v>
      </c>
      <c r="M18" s="17">
        <f t="shared" si="1"/>
        <v>8.5159626523190063E-3</v>
      </c>
      <c r="P18" s="12" t="s">
        <v>70</v>
      </c>
      <c r="Q18" s="13" cm="1">
        <f t="array" ref="Q18:Q19">MMULT(_xlfn.ANCHORARRAY(P9),_xlfn.ANCHORARRAY(Q13))</f>
        <v>12.871849375919368</v>
      </c>
    </row>
    <row r="19" spans="3:18" x14ac:dyDescent="0.2">
      <c r="C19" s="7">
        <v>1</v>
      </c>
      <c r="D19" s="7">
        <v>20</v>
      </c>
      <c r="G19" s="1">
        <v>13.279401142729442</v>
      </c>
      <c r="J19" s="16">
        <f t="shared" si="0"/>
        <v>13.330040559293405</v>
      </c>
      <c r="M19" s="17">
        <f t="shared" si="1"/>
        <v>2.5643505099385007E-3</v>
      </c>
      <c r="P19" s="12" t="s">
        <v>71</v>
      </c>
      <c r="Q19" s="13">
        <v>2.2909559168701854E-2</v>
      </c>
    </row>
    <row r="20" spans="3:18" x14ac:dyDescent="0.2">
      <c r="C20" s="7">
        <v>1</v>
      </c>
      <c r="D20" s="7">
        <v>21</v>
      </c>
      <c r="G20" s="1">
        <v>13.393784504394075</v>
      </c>
      <c r="J20" s="16">
        <f t="shared" si="0"/>
        <v>13.352950118462108</v>
      </c>
      <c r="M20" s="17">
        <f t="shared" si="1"/>
        <v>1.6674470744408678E-3</v>
      </c>
    </row>
    <row r="21" spans="3:18" x14ac:dyDescent="0.2">
      <c r="C21" s="7">
        <v>1</v>
      </c>
      <c r="D21" s="7">
        <v>22</v>
      </c>
      <c r="G21" s="1">
        <v>13.342291845874163</v>
      </c>
      <c r="J21" s="16">
        <f t="shared" si="0"/>
        <v>13.375859677630809</v>
      </c>
      <c r="M21" s="17">
        <f t="shared" si="1"/>
        <v>1.1267993288424556E-3</v>
      </c>
      <c r="O21" s="11" t="s">
        <v>74</v>
      </c>
      <c r="P21" s="18">
        <f>SUM(M1:M34) / (COUNT(M1:M34) - 2)</f>
        <v>4.6965934505633893E-3</v>
      </c>
    </row>
    <row r="22" spans="3:18" x14ac:dyDescent="0.2">
      <c r="C22" s="7">
        <v>1</v>
      </c>
      <c r="D22" s="7">
        <v>23</v>
      </c>
      <c r="G22" s="1">
        <v>13.380782485350267</v>
      </c>
      <c r="J22" s="16">
        <f t="shared" si="0"/>
        <v>13.398769236799509</v>
      </c>
      <c r="M22" s="17">
        <f t="shared" si="1"/>
        <v>3.2352322769684113E-4</v>
      </c>
    </row>
    <row r="23" spans="3:18" x14ac:dyDescent="0.2">
      <c r="C23" s="7">
        <v>1</v>
      </c>
      <c r="D23" s="7">
        <v>24</v>
      </c>
      <c r="G23" s="1">
        <v>13.462023384823803</v>
      </c>
      <c r="J23" s="16">
        <f t="shared" si="0"/>
        <v>13.421678795968212</v>
      </c>
      <c r="M23" s="17">
        <f t="shared" si="1"/>
        <v>1.6276858499266866E-3</v>
      </c>
      <c r="O23" s="11" t="s">
        <v>75</v>
      </c>
      <c r="P23" s="6"/>
      <c r="Q23" s="6"/>
    </row>
    <row r="24" spans="3:18" x14ac:dyDescent="0.2">
      <c r="C24" s="7">
        <v>1</v>
      </c>
      <c r="D24" s="7">
        <v>25</v>
      </c>
      <c r="G24" s="1">
        <v>13.584305852677979</v>
      </c>
      <c r="J24" s="16">
        <f t="shared" si="0"/>
        <v>13.444588355136915</v>
      </c>
      <c r="M24" s="17">
        <f t="shared" si="1"/>
        <v>1.95209791191371E-2</v>
      </c>
      <c r="O24" s="18" t="s">
        <v>85</v>
      </c>
      <c r="P24" s="20">
        <f>$P$21*P9</f>
        <v>6.2932199482721015E-4</v>
      </c>
      <c r="Q24" s="20">
        <f>$P$21*Q9</f>
        <v>-2.655064288324604E-5</v>
      </c>
    </row>
    <row r="25" spans="3:18" x14ac:dyDescent="0.2">
      <c r="C25" s="7">
        <v>1</v>
      </c>
      <c r="D25" s="7">
        <v>26</v>
      </c>
      <c r="G25" s="1">
        <v>13.490473806234547</v>
      </c>
      <c r="J25" s="16">
        <f t="shared" si="0"/>
        <v>13.467497914305616</v>
      </c>
      <c r="M25" s="17">
        <f t="shared" si="1"/>
        <v>5.2789160992993257E-4</v>
      </c>
      <c r="P25" s="20">
        <f>$P$21*P10</f>
        <v>-2.655064288324604E-5</v>
      </c>
      <c r="Q25" s="20">
        <f>$P$21*Q10</f>
        <v>1.435169885580867E-6</v>
      </c>
    </row>
    <row r="26" spans="3:18" x14ac:dyDescent="0.2">
      <c r="C26" s="7">
        <v>1</v>
      </c>
      <c r="D26" s="7">
        <v>27</v>
      </c>
      <c r="G26" s="1">
        <v>13.520835290021509</v>
      </c>
      <c r="J26" s="16">
        <f t="shared" si="0"/>
        <v>13.490407473474317</v>
      </c>
      <c r="M26" s="17">
        <f t="shared" si="1"/>
        <v>9.2585201982957528E-4</v>
      </c>
    </row>
    <row r="27" spans="3:18" x14ac:dyDescent="0.2">
      <c r="C27" s="7">
        <v>1</v>
      </c>
      <c r="D27" s="7">
        <v>28</v>
      </c>
      <c r="G27" s="1">
        <v>13.541951484802192</v>
      </c>
      <c r="J27" s="16">
        <f t="shared" si="0"/>
        <v>13.51331703264302</v>
      </c>
      <c r="M27" s="17">
        <f t="shared" si="1"/>
        <v>8.1993185045594415E-4</v>
      </c>
      <c r="O27" s="11" t="s">
        <v>76</v>
      </c>
      <c r="P27" s="21">
        <f>SQRT(P24)</f>
        <v>2.5086290973900669E-2</v>
      </c>
      <c r="Q27" s="20" t="e">
        <f>SQRT(Q24)</f>
        <v>#NUM!</v>
      </c>
      <c r="R27" s="13" t="s">
        <v>77</v>
      </c>
    </row>
    <row r="28" spans="3:18" x14ac:dyDescent="0.2">
      <c r="C28" s="7">
        <v>1</v>
      </c>
      <c r="D28" s="7">
        <v>29</v>
      </c>
      <c r="G28" s="1">
        <v>13.662351686132821</v>
      </c>
      <c r="J28" s="16">
        <f t="shared" si="0"/>
        <v>13.536226591811722</v>
      </c>
      <c r="M28" s="17">
        <f t="shared" si="1"/>
        <v>1.5907539417506E-2</v>
      </c>
      <c r="P28" s="20" t="e">
        <f>SQRT(P25)</f>
        <v>#NUM!</v>
      </c>
      <c r="Q28" s="21">
        <f>SQRT(Q25)</f>
        <v>1.1979857618439657E-3</v>
      </c>
      <c r="R28" s="13" t="s">
        <v>78</v>
      </c>
    </row>
    <row r="29" spans="3:18" x14ac:dyDescent="0.2">
      <c r="C29" s="7">
        <v>1</v>
      </c>
      <c r="D29" s="7">
        <v>30</v>
      </c>
      <c r="G29" s="1">
        <v>13.525352088437458</v>
      </c>
      <c r="J29" s="16">
        <f t="shared" si="0"/>
        <v>13.559136150980423</v>
      </c>
      <c r="M29" s="17">
        <f t="shared" si="1"/>
        <v>1.1413628819069901E-3</v>
      </c>
    </row>
    <row r="30" spans="3:18" x14ac:dyDescent="0.2">
      <c r="C30" s="7">
        <v>1</v>
      </c>
      <c r="D30" s="7">
        <v>31</v>
      </c>
      <c r="G30" s="1">
        <v>13.556807184251451</v>
      </c>
      <c r="J30" s="16">
        <f t="shared" si="0"/>
        <v>13.582045710149124</v>
      </c>
      <c r="M30" s="17">
        <f t="shared" si="1"/>
        <v>6.3698318948754733E-4</v>
      </c>
      <c r="O30" s="11" t="s">
        <v>86</v>
      </c>
      <c r="P30" s="22">
        <f>Q18/P27</f>
        <v>513.10292897866054</v>
      </c>
    </row>
    <row r="31" spans="3:18" x14ac:dyDescent="0.2">
      <c r="C31" s="7">
        <v>1</v>
      </c>
      <c r="D31" s="7">
        <v>32</v>
      </c>
      <c r="G31" s="1">
        <v>13.60203004376309</v>
      </c>
      <c r="J31" s="16">
        <f t="shared" si="0"/>
        <v>13.604955269317827</v>
      </c>
      <c r="M31" s="17">
        <f t="shared" si="1"/>
        <v>8.5569445460861219E-6</v>
      </c>
      <c r="P31" s="22">
        <f>Q19/Q28</f>
        <v>19.123398539761411</v>
      </c>
    </row>
    <row r="32" spans="3:18" x14ac:dyDescent="0.2">
      <c r="C32" s="7">
        <v>1</v>
      </c>
      <c r="D32" s="7">
        <v>33</v>
      </c>
      <c r="G32" s="1">
        <v>13.733485637003412</v>
      </c>
      <c r="J32" s="16">
        <f t="shared" si="0"/>
        <v>13.62786482848653</v>
      </c>
      <c r="M32" s="17">
        <f t="shared" si="1"/>
        <v>1.115575519175984E-2</v>
      </c>
    </row>
    <row r="33" spans="3:16" x14ac:dyDescent="0.2">
      <c r="C33" s="7">
        <v>1</v>
      </c>
      <c r="D33" s="7">
        <v>34</v>
      </c>
      <c r="G33" s="1">
        <v>13.57387520734336</v>
      </c>
      <c r="J33" s="16">
        <f t="shared" si="0"/>
        <v>13.650774387655231</v>
      </c>
      <c r="M33" s="17">
        <f t="shared" si="1"/>
        <v>5.9134839326376891E-3</v>
      </c>
      <c r="O33" s="11" t="s">
        <v>87</v>
      </c>
      <c r="P33" s="22">
        <f>_xlfn.T.DIST.2T(P30,COUNT(G1:G34)-2)</f>
        <v>3.1696320708240379E-64</v>
      </c>
    </row>
    <row r="34" spans="3:16" x14ac:dyDescent="0.2">
      <c r="C34" s="7">
        <v>1</v>
      </c>
      <c r="D34" s="7">
        <v>35</v>
      </c>
      <c r="G34" s="1">
        <v>13.61314109819652</v>
      </c>
      <c r="J34" s="16">
        <f t="shared" si="0"/>
        <v>13.673683946823932</v>
      </c>
      <c r="M34" s="17">
        <f t="shared" si="1"/>
        <v>3.6654365199216953E-3</v>
      </c>
      <c r="P34" s="22">
        <f>_xlfn.T.DIST.2T(P31,COUNT(G1:G34)-2)</f>
        <v>4.4927324528832568E-19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6B67-A286-3C4E-863F-4E1F15BF1E84}">
  <dimension ref="A1:I23"/>
  <sheetViews>
    <sheetView workbookViewId="0">
      <selection activeCell="J33" sqref="J33"/>
    </sheetView>
  </sheetViews>
  <sheetFormatPr baseColWidth="10" defaultRowHeight="16" x14ac:dyDescent="0.2"/>
  <cols>
    <col min="1" max="1" width="16.33203125" bestFit="1" customWidth="1"/>
    <col min="2" max="2" width="12.1640625" bestFit="1" customWidth="1"/>
    <col min="3" max="3" width="13.33203125" bestFit="1" customWidth="1"/>
    <col min="4" max="5" width="12.1640625" bestFit="1" customWidth="1"/>
    <col min="6" max="6" width="13" bestFit="1" customWidth="1"/>
    <col min="7" max="9" width="12.1640625" bestFit="1" customWidth="1"/>
  </cols>
  <sheetData>
    <row r="1" spans="1:9" x14ac:dyDescent="0.2">
      <c r="A1" t="s">
        <v>39</v>
      </c>
    </row>
    <row r="2" spans="1:9" ht="17" thickBot="1" x14ac:dyDescent="0.25"/>
    <row r="3" spans="1:9" x14ac:dyDescent="0.2">
      <c r="A3" s="4" t="s">
        <v>40</v>
      </c>
      <c r="B3" s="4"/>
    </row>
    <row r="4" spans="1:9" x14ac:dyDescent="0.2">
      <c r="A4" t="s">
        <v>41</v>
      </c>
      <c r="B4">
        <v>0.94764104615155043</v>
      </c>
    </row>
    <row r="5" spans="1:9" x14ac:dyDescent="0.2">
      <c r="A5" t="s">
        <v>42</v>
      </c>
      <c r="B5">
        <v>0.8980235523512049</v>
      </c>
    </row>
    <row r="6" spans="1:9" x14ac:dyDescent="0.2">
      <c r="A6" t="s">
        <v>43</v>
      </c>
      <c r="B6">
        <v>0.89483678836218006</v>
      </c>
    </row>
    <row r="7" spans="1:9" x14ac:dyDescent="0.2">
      <c r="A7" t="s">
        <v>44</v>
      </c>
      <c r="B7">
        <v>47679.358312557895</v>
      </c>
    </row>
    <row r="8" spans="1:9" ht="17" thickBot="1" x14ac:dyDescent="0.25">
      <c r="A8" s="2" t="s">
        <v>45</v>
      </c>
      <c r="B8" s="2">
        <v>34</v>
      </c>
    </row>
    <row r="10" spans="1:9" ht="17" thickBot="1" x14ac:dyDescent="0.25">
      <c r="A10" t="s">
        <v>46</v>
      </c>
    </row>
    <row r="11" spans="1:9" x14ac:dyDescent="0.2">
      <c r="A11" s="3"/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spans="1:9" x14ac:dyDescent="0.2">
      <c r="A12" t="s">
        <v>47</v>
      </c>
      <c r="B12">
        <v>1</v>
      </c>
      <c r="C12">
        <v>640617251500.18945</v>
      </c>
      <c r="D12">
        <v>640617251500.18945</v>
      </c>
      <c r="E12">
        <v>281.7979478379886</v>
      </c>
      <c r="F12">
        <v>2.0132028924922019E-17</v>
      </c>
    </row>
    <row r="13" spans="1:9" x14ac:dyDescent="0.2">
      <c r="A13" t="s">
        <v>48</v>
      </c>
      <c r="B13">
        <v>32</v>
      </c>
      <c r="C13">
        <v>72746278691.113068</v>
      </c>
      <c r="D13">
        <v>2273321209.0972834</v>
      </c>
    </row>
    <row r="14" spans="1:9" ht="17" thickBot="1" x14ac:dyDescent="0.25">
      <c r="A14" s="2" t="s">
        <v>49</v>
      </c>
      <c r="B14" s="2">
        <v>33</v>
      </c>
      <c r="C14" s="2">
        <v>713363530191.30249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56</v>
      </c>
      <c r="C16" s="3" t="s">
        <v>44</v>
      </c>
      <c r="D16" s="3" t="s">
        <v>57</v>
      </c>
      <c r="E16" s="3" t="s">
        <v>58</v>
      </c>
      <c r="F16" s="3" t="s">
        <v>59</v>
      </c>
      <c r="G16" s="3" t="s">
        <v>60</v>
      </c>
      <c r="H16" s="3" t="s">
        <v>61</v>
      </c>
      <c r="I16" s="3" t="s">
        <v>62</v>
      </c>
    </row>
    <row r="17" spans="1:9" x14ac:dyDescent="0.2">
      <c r="A17" t="s">
        <v>50</v>
      </c>
      <c r="B17">
        <v>352444.8633919023</v>
      </c>
      <c r="C17">
        <v>17453.212366396681</v>
      </c>
      <c r="D17">
        <v>20.193695922160295</v>
      </c>
      <c r="E17">
        <v>8.9521571070436958E-20</v>
      </c>
      <c r="F17">
        <v>316893.83317229874</v>
      </c>
      <c r="G17">
        <v>387995.89361150586</v>
      </c>
      <c r="H17">
        <v>316893.83317229874</v>
      </c>
      <c r="I17">
        <v>387995.89361150586</v>
      </c>
    </row>
    <row r="18" spans="1:9" ht="17" thickBot="1" x14ac:dyDescent="0.25">
      <c r="A18" s="2" t="s">
        <v>63</v>
      </c>
      <c r="B18" s="2">
        <v>13991.345699006879</v>
      </c>
      <c r="C18" s="2">
        <v>833.4711550278713</v>
      </c>
      <c r="D18" s="2">
        <v>16.786838530169657</v>
      </c>
      <c r="E18" s="2">
        <v>2.013202892492216E-17</v>
      </c>
      <c r="F18" s="2">
        <v>12293.620512518404</v>
      </c>
      <c r="G18" s="2">
        <v>15689.070885495354</v>
      </c>
      <c r="H18" s="2">
        <v>12293.620512518404</v>
      </c>
      <c r="I18" s="2">
        <v>15689.070885495354</v>
      </c>
    </row>
    <row r="19" spans="1:9" ht="17" thickBot="1" x14ac:dyDescent="0.25"/>
    <row r="20" spans="1:9" x14ac:dyDescent="0.2">
      <c r="A20" s="23" t="s">
        <v>84</v>
      </c>
      <c r="B20" s="23"/>
      <c r="C20" s="23"/>
      <c r="D20" s="23"/>
      <c r="E20" s="23"/>
    </row>
    <row r="21" spans="1:9" x14ac:dyDescent="0.2">
      <c r="A21" s="24"/>
      <c r="B21" s="25" t="str">
        <f>B16</f>
        <v>Coefficients</v>
      </c>
      <c r="C21" s="25" t="str">
        <f t="shared" ref="C21:D21" si="0">C16</f>
        <v>Standard Error</v>
      </c>
      <c r="D21" s="26" t="str">
        <f t="shared" si="0"/>
        <v>t Stat</v>
      </c>
      <c r="E21" s="25" t="str">
        <f>E16</f>
        <v>P-value</v>
      </c>
    </row>
    <row r="22" spans="1:9" x14ac:dyDescent="0.2">
      <c r="A22" s="27" t="str">
        <f>A17</f>
        <v>Intercept</v>
      </c>
      <c r="B22" s="27">
        <f>Linear_Trend!Q18</f>
        <v>352444.86339190276</v>
      </c>
      <c r="C22" s="27">
        <f>Linear_Trend!P27</f>
        <v>17453.212366396667</v>
      </c>
      <c r="D22" s="27">
        <f>Linear_Trend!P30</f>
        <v>20.193695922160337</v>
      </c>
      <c r="E22" s="27">
        <f>Linear_Trend!P33</f>
        <v>8.9521571070431217E-20</v>
      </c>
    </row>
    <row r="23" spans="1:9" ht="17" thickBot="1" x14ac:dyDescent="0.25">
      <c r="A23" s="28" t="str">
        <f>A18</f>
        <v>X Variable 1</v>
      </c>
      <c r="B23" s="28">
        <f>Linear_Trend!Q19</f>
        <v>13991.345699006866</v>
      </c>
      <c r="C23" s="28">
        <f>Linear_Trend!Q28</f>
        <v>833.47115502787062</v>
      </c>
      <c r="D23" s="28">
        <f>Linear_Trend!P31</f>
        <v>16.786838530169657</v>
      </c>
      <c r="E23" s="28">
        <f>Linear_Trend!P34</f>
        <v>2.013202892492216E-17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914B-AA42-4045-A662-EBD0AC991055}">
  <dimension ref="A1:I23"/>
  <sheetViews>
    <sheetView workbookViewId="0">
      <selection activeCell="A20" sqref="A20:E23"/>
    </sheetView>
  </sheetViews>
  <sheetFormatPr baseColWidth="10" defaultRowHeight="16" x14ac:dyDescent="0.2"/>
  <cols>
    <col min="1" max="1" width="16.33203125" bestFit="1" customWidth="1"/>
    <col min="2" max="2" width="12.1640625" bestFit="1" customWidth="1"/>
    <col min="3" max="3" width="13.33203125" bestFit="1" customWidth="1"/>
    <col min="4" max="5" width="12.1640625" bestFit="1" customWidth="1"/>
    <col min="6" max="6" width="13" bestFit="1" customWidth="1"/>
    <col min="7" max="9" width="12.1640625" bestFit="1" customWidth="1"/>
  </cols>
  <sheetData>
    <row r="1" spans="1:9" x14ac:dyDescent="0.2">
      <c r="A1" t="s">
        <v>39</v>
      </c>
    </row>
    <row r="2" spans="1:9" ht="17" thickBot="1" x14ac:dyDescent="0.25"/>
    <row r="3" spans="1:9" x14ac:dyDescent="0.2">
      <c r="A3" s="4" t="s">
        <v>40</v>
      </c>
      <c r="B3" s="4"/>
    </row>
    <row r="4" spans="1:9" x14ac:dyDescent="0.2">
      <c r="A4" t="s">
        <v>41</v>
      </c>
      <c r="B4">
        <v>0.88430104964638478</v>
      </c>
    </row>
    <row r="5" spans="1:9" x14ac:dyDescent="0.2">
      <c r="A5" t="s">
        <v>42</v>
      </c>
      <c r="B5">
        <v>0.78198834640569792</v>
      </c>
    </row>
    <row r="6" spans="1:9" x14ac:dyDescent="0.2">
      <c r="A6" t="s">
        <v>43</v>
      </c>
      <c r="B6">
        <v>0.77517548223087596</v>
      </c>
    </row>
    <row r="7" spans="1:9" x14ac:dyDescent="0.2">
      <c r="A7" t="s">
        <v>44</v>
      </c>
      <c r="B7">
        <v>0.1128071252423504</v>
      </c>
    </row>
    <row r="8" spans="1:9" ht="17" thickBot="1" x14ac:dyDescent="0.25">
      <c r="A8" s="2" t="s">
        <v>45</v>
      </c>
      <c r="B8" s="2">
        <v>34</v>
      </c>
    </row>
    <row r="10" spans="1:9" ht="17" thickBot="1" x14ac:dyDescent="0.25">
      <c r="A10" t="s">
        <v>46</v>
      </c>
    </row>
    <row r="11" spans="1:9" x14ac:dyDescent="0.2">
      <c r="A11" s="3"/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spans="1:9" x14ac:dyDescent="0.2">
      <c r="A12" t="s">
        <v>47</v>
      </c>
      <c r="B12">
        <v>1</v>
      </c>
      <c r="C12">
        <v>1.460641427262011</v>
      </c>
      <c r="D12">
        <v>1.460641427262011</v>
      </c>
      <c r="E12">
        <v>114.7811443673961</v>
      </c>
      <c r="F12">
        <v>4.0883927296617485E-12</v>
      </c>
    </row>
    <row r="13" spans="1:9" x14ac:dyDescent="0.2">
      <c r="A13" t="s">
        <v>48</v>
      </c>
      <c r="B13">
        <v>32</v>
      </c>
      <c r="C13">
        <v>0.40721432017418646</v>
      </c>
      <c r="D13">
        <v>1.2725447505443327E-2</v>
      </c>
    </row>
    <row r="14" spans="1:9" ht="17" thickBot="1" x14ac:dyDescent="0.25">
      <c r="A14" s="2" t="s">
        <v>49</v>
      </c>
      <c r="B14" s="2">
        <v>33</v>
      </c>
      <c r="C14" s="2">
        <v>1.8678557474361974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56</v>
      </c>
      <c r="C16" s="3" t="s">
        <v>44</v>
      </c>
      <c r="D16" s="3" t="s">
        <v>57</v>
      </c>
      <c r="E16" s="3" t="s">
        <v>58</v>
      </c>
      <c r="F16" s="3" t="s">
        <v>59</v>
      </c>
      <c r="G16" s="3" t="s">
        <v>60</v>
      </c>
      <c r="H16" s="3" t="s">
        <v>61</v>
      </c>
      <c r="I16" s="3" t="s">
        <v>62</v>
      </c>
    </row>
    <row r="17" spans="1:9" x14ac:dyDescent="0.2">
      <c r="A17" t="s">
        <v>50</v>
      </c>
      <c r="B17">
        <v>12.527884039759021</v>
      </c>
      <c r="C17">
        <v>7.4230593071116041E-2</v>
      </c>
      <c r="D17">
        <v>168.76982281088311</v>
      </c>
      <c r="E17">
        <v>8.8586212432055907E-49</v>
      </c>
      <c r="F17">
        <v>12.376681269627646</v>
      </c>
      <c r="G17">
        <v>12.679086809890396</v>
      </c>
      <c r="H17">
        <v>12.376681269627646</v>
      </c>
      <c r="I17">
        <v>12.679086809890396</v>
      </c>
    </row>
    <row r="18" spans="1:9" ht="17" thickBot="1" x14ac:dyDescent="0.25">
      <c r="A18" s="2" t="s">
        <v>63</v>
      </c>
      <c r="B18" s="2">
        <v>0.28332990788387352</v>
      </c>
      <c r="C18" s="2">
        <v>2.6445826552484519E-2</v>
      </c>
      <c r="D18" s="2">
        <v>10.713596238770439</v>
      </c>
      <c r="E18" s="2">
        <v>4.0883927296617485E-12</v>
      </c>
      <c r="F18" s="2">
        <v>0.2294615219837553</v>
      </c>
      <c r="G18" s="2">
        <v>0.33719829378399174</v>
      </c>
      <c r="H18" s="2">
        <v>0.2294615219837553</v>
      </c>
      <c r="I18" s="2">
        <v>0.33719829378399174</v>
      </c>
    </row>
    <row r="19" spans="1:9" ht="17" thickBot="1" x14ac:dyDescent="0.25"/>
    <row r="20" spans="1:9" x14ac:dyDescent="0.2">
      <c r="A20" s="23" t="s">
        <v>84</v>
      </c>
      <c r="B20" s="23"/>
      <c r="C20" s="23"/>
      <c r="D20" s="23"/>
      <c r="E20" s="23"/>
    </row>
    <row r="21" spans="1:9" x14ac:dyDescent="0.2">
      <c r="A21" s="24"/>
      <c r="B21" s="25" t="str">
        <f>B16</f>
        <v>Coefficients</v>
      </c>
      <c r="C21" s="25" t="str">
        <f t="shared" ref="C21:D21" si="0">C16</f>
        <v>Standard Error</v>
      </c>
      <c r="D21" s="26" t="str">
        <f t="shared" si="0"/>
        <v>t Stat</v>
      </c>
      <c r="E21" s="25" t="str">
        <f>E16</f>
        <v>P-value</v>
      </c>
    </row>
    <row r="22" spans="1:9" x14ac:dyDescent="0.2">
      <c r="A22" s="27" t="str">
        <f>A17</f>
        <v>Intercept</v>
      </c>
      <c r="B22" s="27">
        <f>Power_Trend!Q18</f>
        <v>12.527884039759073</v>
      </c>
      <c r="C22" s="27">
        <f>Power_Trend!P27</f>
        <v>7.4230593071116166E-2</v>
      </c>
      <c r="D22" s="27">
        <f>Power_Trend!P30</f>
        <v>168.76982281088351</v>
      </c>
      <c r="E22" s="27">
        <f>Power_Trend!P33</f>
        <v>8.8586212432049617E-49</v>
      </c>
    </row>
    <row r="23" spans="1:9" ht="17" thickBot="1" x14ac:dyDescent="0.25">
      <c r="A23" s="28" t="str">
        <f>A18</f>
        <v>X Variable 1</v>
      </c>
      <c r="B23" s="28">
        <f>Power_Trend!Q19</f>
        <v>0.28332990788385359</v>
      </c>
      <c r="C23" s="28">
        <f>Power_Trend!Q28</f>
        <v>2.6445826552484564E-2</v>
      </c>
      <c r="D23" s="28">
        <f>Power_Trend!P31</f>
        <v>10.713596238769666</v>
      </c>
      <c r="E23" s="28">
        <f>Power_Trend!P34</f>
        <v>4.0883927296691866E-12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45DF-350A-1548-B44E-62A91B34FC83}">
  <dimension ref="A1:I23"/>
  <sheetViews>
    <sheetView tabSelected="1" workbookViewId="0">
      <selection activeCell="A20" sqref="A20:E23"/>
    </sheetView>
  </sheetViews>
  <sheetFormatPr baseColWidth="10" defaultRowHeight="16" x14ac:dyDescent="0.2"/>
  <cols>
    <col min="1" max="1" width="16.33203125" bestFit="1" customWidth="1"/>
    <col min="2" max="2" width="12.1640625" bestFit="1" customWidth="1"/>
    <col min="3" max="3" width="13.33203125" bestFit="1" customWidth="1"/>
    <col min="4" max="5" width="12.1640625" bestFit="1" customWidth="1"/>
    <col min="6" max="6" width="13" bestFit="1" customWidth="1"/>
    <col min="7" max="9" width="12.1640625" bestFit="1" customWidth="1"/>
  </cols>
  <sheetData>
    <row r="1" spans="1:9" x14ac:dyDescent="0.2">
      <c r="A1" t="s">
        <v>39</v>
      </c>
    </row>
    <row r="2" spans="1:9" ht="17" thickBot="1" x14ac:dyDescent="0.25"/>
    <row r="3" spans="1:9" x14ac:dyDescent="0.2">
      <c r="A3" s="4" t="s">
        <v>40</v>
      </c>
      <c r="B3" s="4"/>
    </row>
    <row r="4" spans="1:9" x14ac:dyDescent="0.2">
      <c r="A4" t="s">
        <v>41</v>
      </c>
      <c r="B4">
        <v>0.95892555716176853</v>
      </c>
    </row>
    <row r="5" spans="1:9" x14ac:dyDescent="0.2">
      <c r="A5" t="s">
        <v>42</v>
      </c>
      <c r="B5">
        <v>0.91953822417800823</v>
      </c>
    </row>
    <row r="6" spans="1:9" x14ac:dyDescent="0.2">
      <c r="A6" t="s">
        <v>43</v>
      </c>
      <c r="B6">
        <v>0.91702379368357101</v>
      </c>
    </row>
    <row r="7" spans="1:9" x14ac:dyDescent="0.2">
      <c r="A7" t="s">
        <v>44</v>
      </c>
      <c r="B7">
        <v>6.8531696685281682E-2</v>
      </c>
    </row>
    <row r="8" spans="1:9" ht="17" thickBot="1" x14ac:dyDescent="0.25">
      <c r="A8" s="2" t="s">
        <v>45</v>
      </c>
      <c r="B8" s="2">
        <v>34</v>
      </c>
    </row>
    <row r="10" spans="1:9" ht="17" thickBot="1" x14ac:dyDescent="0.25">
      <c r="A10" t="s">
        <v>46</v>
      </c>
    </row>
    <row r="11" spans="1:9" x14ac:dyDescent="0.2">
      <c r="A11" s="3"/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spans="1:9" x14ac:dyDescent="0.2">
      <c r="A12" t="s">
        <v>47</v>
      </c>
      <c r="B12">
        <v>1</v>
      </c>
      <c r="C12">
        <v>1.7175647570181671</v>
      </c>
      <c r="D12">
        <v>1.7175647570181671</v>
      </c>
      <c r="E12">
        <v>365.70437171054516</v>
      </c>
      <c r="F12">
        <v>4.492732452883928E-19</v>
      </c>
    </row>
    <row r="13" spans="1:9" x14ac:dyDescent="0.2">
      <c r="A13" t="s">
        <v>48</v>
      </c>
      <c r="B13">
        <v>32</v>
      </c>
      <c r="C13">
        <v>0.15029099041803035</v>
      </c>
      <c r="D13">
        <v>4.6965934505634483E-3</v>
      </c>
    </row>
    <row r="14" spans="1:9" ht="17" thickBot="1" x14ac:dyDescent="0.25">
      <c r="A14" s="2" t="s">
        <v>49</v>
      </c>
      <c r="B14" s="2">
        <v>33</v>
      </c>
      <c r="C14" s="2">
        <v>1.8678557474361974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56</v>
      </c>
      <c r="C16" s="3" t="s">
        <v>44</v>
      </c>
      <c r="D16" s="3" t="s">
        <v>57</v>
      </c>
      <c r="E16" s="3" t="s">
        <v>58</v>
      </c>
      <c r="F16" s="3" t="s">
        <v>59</v>
      </c>
      <c r="G16" s="3" t="s">
        <v>60</v>
      </c>
      <c r="H16" s="3" t="s">
        <v>61</v>
      </c>
      <c r="I16" s="3" t="s">
        <v>62</v>
      </c>
    </row>
    <row r="17" spans="1:9" x14ac:dyDescent="0.2">
      <c r="A17" t="s">
        <v>50</v>
      </c>
      <c r="B17">
        <v>12.871849375919362</v>
      </c>
      <c r="C17">
        <v>2.5086290973900832E-2</v>
      </c>
      <c r="D17">
        <v>513.10292897865702</v>
      </c>
      <c r="E17">
        <v>3.1696320708247585E-64</v>
      </c>
      <c r="F17">
        <v>12.820750273370882</v>
      </c>
      <c r="G17">
        <v>12.922948478467843</v>
      </c>
      <c r="H17">
        <v>12.820750273370882</v>
      </c>
      <c r="I17">
        <v>12.922948478467843</v>
      </c>
    </row>
    <row r="18" spans="1:9" ht="17" thickBot="1" x14ac:dyDescent="0.25">
      <c r="A18" s="2" t="s">
        <v>63</v>
      </c>
      <c r="B18" s="2">
        <v>2.2909559168701882E-2</v>
      </c>
      <c r="C18" s="2">
        <v>1.1979857618439737E-3</v>
      </c>
      <c r="D18" s="2">
        <v>19.123398539761304</v>
      </c>
      <c r="E18" s="2">
        <v>4.4927324528839926E-19</v>
      </c>
      <c r="F18" s="2">
        <v>2.0469342025411438E-2</v>
      </c>
      <c r="G18" s="2">
        <v>2.5349776311992325E-2</v>
      </c>
      <c r="H18" s="2">
        <v>2.0469342025411438E-2</v>
      </c>
      <c r="I18" s="2">
        <v>2.5349776311992325E-2</v>
      </c>
    </row>
    <row r="19" spans="1:9" ht="17" thickBot="1" x14ac:dyDescent="0.25"/>
    <row r="20" spans="1:9" x14ac:dyDescent="0.2">
      <c r="A20" s="23" t="s">
        <v>84</v>
      </c>
      <c r="B20" s="23"/>
      <c r="C20" s="23"/>
      <c r="D20" s="23"/>
      <c r="E20" s="23"/>
    </row>
    <row r="21" spans="1:9" x14ac:dyDescent="0.2">
      <c r="A21" s="24"/>
      <c r="B21" s="25" t="str">
        <f>B16</f>
        <v>Coefficients</v>
      </c>
      <c r="C21" s="25" t="str">
        <f t="shared" ref="C21:D21" si="0">C16</f>
        <v>Standard Error</v>
      </c>
      <c r="D21" s="26" t="str">
        <f t="shared" si="0"/>
        <v>t Stat</v>
      </c>
      <c r="E21" s="25" t="str">
        <f>E16</f>
        <v>P-value</v>
      </c>
    </row>
    <row r="22" spans="1:9" x14ac:dyDescent="0.2">
      <c r="A22" s="27" t="str">
        <f>A17</f>
        <v>Intercept</v>
      </c>
      <c r="B22" s="27">
        <f>Exponential_Trend!Q18</f>
        <v>12.871849375919368</v>
      </c>
      <c r="C22" s="27">
        <f>Exponential_Trend!P27</f>
        <v>2.5086290973900669E-2</v>
      </c>
      <c r="D22" s="27">
        <f>Exponential_Trend!P30</f>
        <v>513.10292897866054</v>
      </c>
      <c r="E22" s="27">
        <f>Exponential_Trend!P33</f>
        <v>3.1696320708240379E-64</v>
      </c>
    </row>
    <row r="23" spans="1:9" ht="17" thickBot="1" x14ac:dyDescent="0.25">
      <c r="A23" s="28" t="str">
        <f>A18</f>
        <v>X Variable 1</v>
      </c>
      <c r="B23" s="28">
        <f>Exponential_Trend!Q19</f>
        <v>2.2909559168701854E-2</v>
      </c>
      <c r="C23" s="28">
        <f>Exponential_Trend!Q28</f>
        <v>1.1979857618439657E-3</v>
      </c>
      <c r="D23" s="28">
        <f>Exponential_Trend!P31</f>
        <v>19.123398539761411</v>
      </c>
      <c r="E23" s="28">
        <f>Exponential_Trend!P34</f>
        <v>4.4927324528832568E-19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D9FCE-B025-7B4C-A94A-A79A7247AB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POLAND_GVA</vt:lpstr>
      <vt:lpstr>Linear_Trend</vt:lpstr>
      <vt:lpstr>Power_Trend</vt:lpstr>
      <vt:lpstr>Exponential_Trend</vt:lpstr>
      <vt:lpstr>DA_Tool_Linear</vt:lpstr>
      <vt:lpstr>DA_Tool_Power</vt:lpstr>
      <vt:lpstr>DA_Tool_Exponential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2025-11-24T10:27:45Z</dcterms:created>
  <dcterms:modified xsi:type="dcterms:W3CDTF">2025-12-01T21:43:49Z</dcterms:modified>
</cp:coreProperties>
</file>