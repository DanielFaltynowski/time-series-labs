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time-series-labs/labs/01_trend_and_seasonality/excel/"/>
    </mc:Choice>
  </mc:AlternateContent>
  <xr:revisionPtr revIDLastSave="0" documentId="13_ncr:1_{D64579B7-5CDC-734D-AF60-9DDED134825A}" xr6:coauthVersionLast="47" xr6:coauthVersionMax="47" xr10:uidLastSave="{00000000-0000-0000-0000-000000000000}"/>
  <bookViews>
    <workbookView xWindow="380" yWindow="500" windowWidth="28040" windowHeight="16020" xr2:uid="{89C6EF17-6D7C-1E4E-801A-59B52683BE08}"/>
  </bookViews>
  <sheets>
    <sheet name="Poland GVA" sheetId="2" r:id="rId1"/>
    <sheet name="Indicators" sheetId="3" r:id="rId2"/>
  </sheets>
  <definedNames>
    <definedName name="ExternalData_1" localSheetId="0" hidden="1">'Poland GVA'!$A$1:$D$123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3" i="2"/>
  <c r="C7" i="2"/>
  <c r="C11" i="2" s="1"/>
  <c r="C15" i="2" s="1"/>
  <c r="C19" i="2" s="1"/>
  <c r="C23" i="2" s="1"/>
  <c r="C27" i="2" s="1"/>
  <c r="C31" i="2" s="1"/>
  <c r="C35" i="2" s="1"/>
  <c r="C39" i="2" s="1"/>
  <c r="C43" i="2" s="1"/>
  <c r="C47" i="2" s="1"/>
  <c r="C51" i="2" s="1"/>
  <c r="C55" i="2" s="1"/>
  <c r="C59" i="2" s="1"/>
  <c r="C63" i="2" s="1"/>
  <c r="C67" i="2" s="1"/>
  <c r="C71" i="2" s="1"/>
  <c r="C75" i="2" s="1"/>
  <c r="C79" i="2" s="1"/>
  <c r="C83" i="2" s="1"/>
  <c r="C87" i="2" s="1"/>
  <c r="C91" i="2" s="1"/>
  <c r="C95" i="2" s="1"/>
  <c r="C99" i="2" s="1"/>
  <c r="C103" i="2" s="1"/>
  <c r="C107" i="2" s="1"/>
  <c r="C111" i="2" s="1"/>
  <c r="C115" i="2" s="1"/>
  <c r="C119" i="2" s="1"/>
  <c r="C123" i="2" s="1"/>
  <c r="C8" i="2"/>
  <c r="C12" i="2" s="1"/>
  <c r="C16" i="2" s="1"/>
  <c r="C20" i="2" s="1"/>
  <c r="C24" i="2" s="1"/>
  <c r="C28" i="2" s="1"/>
  <c r="C32" i="2" s="1"/>
  <c r="C36" i="2" s="1"/>
  <c r="C40" i="2" s="1"/>
  <c r="C44" i="2" s="1"/>
  <c r="C48" i="2" s="1"/>
  <c r="C52" i="2" s="1"/>
  <c r="C56" i="2" s="1"/>
  <c r="C60" i="2" s="1"/>
  <c r="C64" i="2" s="1"/>
  <c r="C68" i="2" s="1"/>
  <c r="C72" i="2" s="1"/>
  <c r="C76" i="2" s="1"/>
  <c r="C80" i="2" s="1"/>
  <c r="C84" i="2" s="1"/>
  <c r="C88" i="2" s="1"/>
  <c r="C92" i="2" s="1"/>
  <c r="C96" i="2" s="1"/>
  <c r="C100" i="2" s="1"/>
  <c r="C104" i="2" s="1"/>
  <c r="C108" i="2" s="1"/>
  <c r="C112" i="2" s="1"/>
  <c r="C116" i="2" s="1"/>
  <c r="C120" i="2" s="1"/>
  <c r="C9" i="2"/>
  <c r="C13" i="2" s="1"/>
  <c r="C17" i="2" s="1"/>
  <c r="C21" i="2" s="1"/>
  <c r="C25" i="2" s="1"/>
  <c r="C29" i="2" s="1"/>
  <c r="C33" i="2" s="1"/>
  <c r="C37" i="2" s="1"/>
  <c r="C41" i="2" s="1"/>
  <c r="C45" i="2" s="1"/>
  <c r="C49" i="2" s="1"/>
  <c r="C53" i="2" s="1"/>
  <c r="C57" i="2" s="1"/>
  <c r="C61" i="2" s="1"/>
  <c r="C65" i="2" s="1"/>
  <c r="C69" i="2" s="1"/>
  <c r="C73" i="2" s="1"/>
  <c r="C77" i="2" s="1"/>
  <c r="C81" i="2" s="1"/>
  <c r="C85" i="2" s="1"/>
  <c r="C89" i="2" s="1"/>
  <c r="C93" i="2" s="1"/>
  <c r="C97" i="2" s="1"/>
  <c r="C101" i="2" s="1"/>
  <c r="C105" i="2" s="1"/>
  <c r="C109" i="2" s="1"/>
  <c r="C113" i="2" s="1"/>
  <c r="C117" i="2" s="1"/>
  <c r="C121" i="2" s="1"/>
  <c r="C6" i="2"/>
  <c r="C10" i="2" s="1"/>
  <c r="C14" i="2" s="1"/>
  <c r="C18" i="2" s="1"/>
  <c r="C22" i="2" s="1"/>
  <c r="C26" i="2" s="1"/>
  <c r="C30" i="2" s="1"/>
  <c r="C34" i="2" s="1"/>
  <c r="C38" i="2" s="1"/>
  <c r="C42" i="2" s="1"/>
  <c r="C46" i="2" s="1"/>
  <c r="C50" i="2" s="1"/>
  <c r="C54" i="2" s="1"/>
  <c r="C58" i="2" s="1"/>
  <c r="C62" i="2" s="1"/>
  <c r="C66" i="2" s="1"/>
  <c r="C70" i="2" s="1"/>
  <c r="C74" i="2" s="1"/>
  <c r="C78" i="2" s="1"/>
  <c r="C82" i="2" s="1"/>
  <c r="C86" i="2" s="1"/>
  <c r="C90" i="2" s="1"/>
  <c r="C94" i="2" s="1"/>
  <c r="C98" i="2" s="1"/>
  <c r="C102" i="2" s="1"/>
  <c r="C106" i="2" s="1"/>
  <c r="C110" i="2" s="1"/>
  <c r="C114" i="2" s="1"/>
  <c r="C118" i="2" s="1"/>
  <c r="C122" i="2" s="1"/>
  <c r="B7" i="2"/>
  <c r="B11" i="2" s="1"/>
  <c r="B15" i="2" s="1"/>
  <c r="B19" i="2" s="1"/>
  <c r="B23" i="2" s="1"/>
  <c r="B27" i="2" s="1"/>
  <c r="B31" i="2" s="1"/>
  <c r="B35" i="2" s="1"/>
  <c r="B39" i="2" s="1"/>
  <c r="B43" i="2" s="1"/>
  <c r="B47" i="2" s="1"/>
  <c r="B51" i="2" s="1"/>
  <c r="B55" i="2" s="1"/>
  <c r="B59" i="2" s="1"/>
  <c r="B63" i="2" s="1"/>
  <c r="B67" i="2" s="1"/>
  <c r="B71" i="2" s="1"/>
  <c r="B75" i="2" s="1"/>
  <c r="B79" i="2" s="1"/>
  <c r="B83" i="2" s="1"/>
  <c r="B87" i="2" s="1"/>
  <c r="B91" i="2" s="1"/>
  <c r="B95" i="2" s="1"/>
  <c r="B99" i="2" s="1"/>
  <c r="B103" i="2" s="1"/>
  <c r="B107" i="2" s="1"/>
  <c r="B111" i="2" s="1"/>
  <c r="B115" i="2" s="1"/>
  <c r="B119" i="2" s="1"/>
  <c r="B123" i="2" s="1"/>
  <c r="B8" i="2"/>
  <c r="B12" i="2" s="1"/>
  <c r="B16" i="2" s="1"/>
  <c r="B20" i="2" s="1"/>
  <c r="B24" i="2" s="1"/>
  <c r="B28" i="2" s="1"/>
  <c r="B32" i="2" s="1"/>
  <c r="B36" i="2" s="1"/>
  <c r="B40" i="2" s="1"/>
  <c r="B44" i="2" s="1"/>
  <c r="B48" i="2" s="1"/>
  <c r="B52" i="2" s="1"/>
  <c r="B56" i="2" s="1"/>
  <c r="B60" i="2" s="1"/>
  <c r="B64" i="2" s="1"/>
  <c r="B68" i="2" s="1"/>
  <c r="B72" i="2" s="1"/>
  <c r="B76" i="2" s="1"/>
  <c r="B80" i="2" s="1"/>
  <c r="B84" i="2" s="1"/>
  <c r="B88" i="2" s="1"/>
  <c r="B92" i="2" s="1"/>
  <c r="B96" i="2" s="1"/>
  <c r="B100" i="2" s="1"/>
  <c r="B104" i="2" s="1"/>
  <c r="B108" i="2" s="1"/>
  <c r="B112" i="2" s="1"/>
  <c r="B116" i="2" s="1"/>
  <c r="B120" i="2" s="1"/>
  <c r="B9" i="2"/>
  <c r="B13" i="2" s="1"/>
  <c r="B17" i="2" s="1"/>
  <c r="B21" i="2" s="1"/>
  <c r="B25" i="2" s="1"/>
  <c r="B29" i="2" s="1"/>
  <c r="B33" i="2" s="1"/>
  <c r="B37" i="2" s="1"/>
  <c r="B41" i="2" s="1"/>
  <c r="B45" i="2" s="1"/>
  <c r="B49" i="2" s="1"/>
  <c r="B53" i="2" s="1"/>
  <c r="B57" i="2" s="1"/>
  <c r="B61" i="2" s="1"/>
  <c r="B65" i="2" s="1"/>
  <c r="B69" i="2" s="1"/>
  <c r="B73" i="2" s="1"/>
  <c r="B77" i="2" s="1"/>
  <c r="B81" i="2" s="1"/>
  <c r="B85" i="2" s="1"/>
  <c r="B89" i="2" s="1"/>
  <c r="B93" i="2" s="1"/>
  <c r="B97" i="2" s="1"/>
  <c r="B101" i="2" s="1"/>
  <c r="B105" i="2" s="1"/>
  <c r="B109" i="2" s="1"/>
  <c r="B113" i="2" s="1"/>
  <c r="B117" i="2" s="1"/>
  <c r="B121" i="2" s="1"/>
  <c r="B6" i="2"/>
  <c r="B10" i="2" s="1"/>
  <c r="B14" i="2" s="1"/>
  <c r="B18" i="2" s="1"/>
  <c r="B22" i="2" s="1"/>
  <c r="B26" i="2" s="1"/>
  <c r="B30" i="2" s="1"/>
  <c r="B34" i="2" s="1"/>
  <c r="B38" i="2" s="1"/>
  <c r="B42" i="2" s="1"/>
  <c r="B46" i="2" s="1"/>
  <c r="B50" i="2" s="1"/>
  <c r="B54" i="2" s="1"/>
  <c r="B58" i="2" s="1"/>
  <c r="B62" i="2" s="1"/>
  <c r="B66" i="2" s="1"/>
  <c r="B70" i="2" s="1"/>
  <c r="B74" i="2" s="1"/>
  <c r="B78" i="2" s="1"/>
  <c r="B82" i="2" s="1"/>
  <c r="B86" i="2" s="1"/>
  <c r="B90" i="2" s="1"/>
  <c r="B94" i="2" s="1"/>
  <c r="B98" i="2" s="1"/>
  <c r="B102" i="2" s="1"/>
  <c r="B106" i="2" s="1"/>
  <c r="B110" i="2" s="1"/>
  <c r="B114" i="2" s="1"/>
  <c r="B118" i="2" s="1"/>
  <c r="B122" i="2" s="1"/>
  <c r="B5" i="3" l="1"/>
  <c r="B3" i="3"/>
  <c r="B4" i="3"/>
  <c r="B2" i="3"/>
  <c r="A8" i="3" l="1"/>
  <c r="C2" i="3" s="1" a="1"/>
  <c r="C2" i="3" s="1"/>
  <c r="C5" i="3" l="1" a="1"/>
  <c r="C5" i="3" s="1"/>
  <c r="C3" i="3" a="1"/>
  <c r="C3" i="3" s="1"/>
  <c r="C4" i="3" a="1"/>
  <c r="C4" i="3" s="1"/>
  <c r="F90" i="2"/>
  <c r="F26" i="2"/>
  <c r="F62" i="2"/>
  <c r="F98" i="2"/>
  <c r="F46" i="2"/>
  <c r="F30" i="2"/>
  <c r="F82" i="2"/>
  <c r="F18" i="2"/>
  <c r="F118" i="2"/>
  <c r="F54" i="2"/>
  <c r="F74" i="2"/>
  <c r="F10" i="2"/>
  <c r="F110" i="2"/>
  <c r="F66" i="2"/>
  <c r="F122" i="2"/>
  <c r="F114" i="2"/>
  <c r="F102" i="2"/>
  <c r="F38" i="2"/>
  <c r="F58" i="2"/>
  <c r="F94" i="2"/>
  <c r="F50" i="2"/>
  <c r="F86" i="2"/>
  <c r="F22" i="2"/>
  <c r="F78" i="2"/>
  <c r="F42" i="2"/>
  <c r="F14" i="2"/>
  <c r="F34" i="2"/>
  <c r="F106" i="2"/>
  <c r="F70" i="2"/>
  <c r="F6" i="2"/>
  <c r="F56" i="2" l="1"/>
  <c r="F88" i="2"/>
  <c r="F68" i="2"/>
  <c r="F4" i="2"/>
  <c r="F100" i="2"/>
  <c r="F36" i="2"/>
  <c r="F84" i="2"/>
  <c r="F48" i="2"/>
  <c r="F112" i="2"/>
  <c r="F60" i="2"/>
  <c r="F40" i="2"/>
  <c r="F104" i="2"/>
  <c r="F116" i="2"/>
  <c r="F52" i="2"/>
  <c r="F32" i="2"/>
  <c r="F108" i="2"/>
  <c r="F44" i="2"/>
  <c r="F120" i="2"/>
  <c r="F24" i="2"/>
  <c r="F96" i="2"/>
  <c r="F16" i="2"/>
  <c r="F92" i="2"/>
  <c r="F28" i="2"/>
  <c r="F72" i="2"/>
  <c r="F8" i="2"/>
  <c r="F20" i="2"/>
  <c r="F12" i="2"/>
  <c r="F64" i="2"/>
  <c r="F80" i="2"/>
  <c r="F76" i="2"/>
  <c r="F3" i="2"/>
  <c r="F67" i="2"/>
  <c r="F55" i="2"/>
  <c r="F111" i="2"/>
  <c r="F123" i="2"/>
  <c r="F59" i="2"/>
  <c r="F119" i="2"/>
  <c r="F47" i="2"/>
  <c r="F115" i="2"/>
  <c r="F51" i="2"/>
  <c r="F103" i="2"/>
  <c r="F39" i="2"/>
  <c r="F107" i="2"/>
  <c r="F43" i="2"/>
  <c r="F95" i="2"/>
  <c r="F31" i="2"/>
  <c r="F99" i="2"/>
  <c r="F35" i="2"/>
  <c r="F87" i="2"/>
  <c r="F23" i="2"/>
  <c r="F91" i="2"/>
  <c r="F27" i="2"/>
  <c r="F79" i="2"/>
  <c r="F15" i="2"/>
  <c r="F71" i="2"/>
  <c r="F7" i="2"/>
  <c r="F83" i="2"/>
  <c r="F19" i="2"/>
  <c r="F75" i="2"/>
  <c r="F11" i="2"/>
  <c r="F63" i="2"/>
  <c r="F89" i="2"/>
  <c r="F25" i="2"/>
  <c r="F77" i="2"/>
  <c r="F13" i="2"/>
  <c r="F61" i="2"/>
  <c r="F21" i="2"/>
  <c r="F81" i="2"/>
  <c r="F17" i="2"/>
  <c r="F69" i="2"/>
  <c r="F5" i="2"/>
  <c r="F73" i="2"/>
  <c r="F9" i="2"/>
  <c r="F65" i="2"/>
  <c r="F117" i="2"/>
  <c r="F53" i="2"/>
  <c r="F121" i="2"/>
  <c r="F57" i="2"/>
  <c r="F109" i="2"/>
  <c r="F45" i="2"/>
  <c r="F113" i="2"/>
  <c r="F49" i="2"/>
  <c r="F101" i="2"/>
  <c r="F37" i="2"/>
  <c r="F41" i="2"/>
  <c r="F93" i="2"/>
  <c r="F105" i="2"/>
  <c r="F29" i="2"/>
  <c r="F97" i="2"/>
  <c r="F33" i="2"/>
  <c r="F8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9562F-7A35-074C-8F43-2D2D9DBFA88F}" keepAlive="1" name="Query - Sheet 1" description="Connection to the 'Sheet 1' query in the workbook." type="5" refreshedVersion="8" background="1" saveData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<sst xmlns="http://schemas.openxmlformats.org/spreadsheetml/2006/main" count="132" uniqueCount="131">
  <si>
    <t>TIME</t>
  </si>
  <si>
    <t>1995-Q1</t>
  </si>
  <si>
    <t>1995-Q2</t>
  </si>
  <si>
    <t>1995-Q3</t>
  </si>
  <si>
    <t>1995-Q4</t>
  </si>
  <si>
    <t>1996-Q1</t>
  </si>
  <si>
    <t>1996-Q2</t>
  </si>
  <si>
    <t>1996-Q3</t>
  </si>
  <si>
    <t>1996-Q4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</si>
  <si>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</si>
  <si>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</si>
  <si>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</si>
  <si>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</si>
  <si>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</si>
  <si>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</si>
  <si>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</si>
  <si>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</si>
  <si>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</si>
  <si>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</si>
  <si>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</si>
  <si>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</si>
  <si>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</si>
  <si>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</si>
  <si>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</si>
  <si>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</si>
  <si>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</si>
  <si>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</si>
  <si>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</si>
  <si>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</si>
  <si>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</si>
  <si>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</si>
  <si>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</si>
  <si>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</si>
  <si>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</si>
  <si>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</si>
  <si>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</si>
  <si>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</si>
  <si>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</si>
  <si>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</si>
  <si>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</si>
  <si>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</si>
  <si>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</si>
  <si>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</si>
  <si>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</si>
  <si>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</si>
  <si>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</si>
  <si>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</si>
  <si>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</si>
  <si>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</si>
  <si>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</si>
  <si>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</si>
  <si>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</si>
  <si>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</si>
  <si>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</si>
  <si>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</si>
  <si>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</si>
  <si>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</si>
  <si>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</si>
  <si>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</si>
  <si>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</si>
  <si>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</si>
  <si>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</si>
  <si>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</si>
  <si>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</si>
  <si>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</si>
  <si>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</si>
  <si>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</si>
  <si>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</si>
  <si>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</si>
  <si>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</si>
  <si>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</si>
  <si>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</si>
  <si>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</si>
  <si>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</si>
  <si>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</si>
  <si>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</si>
  <si>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</si>
  <si>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</si>
  <si>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</si>
  <si>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</si>
  <si>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</si>
  <si>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</si>
  <si>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</si>
  <si>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</si>
  <si>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</si>
  <si>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</si>
  <si>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</si>
  <si>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</si>
  <si>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</si>
  <si>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</si>
  <si>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</si>
  <si>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</si>
  <si>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</si>
  <si>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</si>
  <si>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</si>
  <si>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</si>
  <si>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</si>
  <si>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</si>
  <si>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</si>
  <si>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</si>
  <si>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</si>
  <si>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</si>
  <si>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</si>
  <si>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</si>
  <si>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</si>
  <si>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</si>
  <si>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</si>
  <si>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</si>
  <si>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</si>
  <si>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</si>
  <si>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</si>
  <si>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</si>
  <si>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</si>
  <si>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</si>
  <si>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</si>
  <si>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</si>
  <si>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</si>
  <si>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</si>
  <si>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</si>
  <si>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</si>
  <si>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</si>
  <si>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</si>
  <si>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</si>
  <si>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</si>
  <si>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</si>
  <si>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</si>
  <si>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GVA_NOTREND</t>
  </si>
  <si>
    <t>RAW</t>
  </si>
  <si>
    <t>CLEANED</t>
  </si>
  <si>
    <t>AVERAGE_RAW_INDICATORS</t>
  </si>
  <si>
    <t>GVA_NOTREND_NOSEASON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</si>
</sst>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PLN&quot;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9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64" formatCode="#,##0.00\ &quot;PLN&quot;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400" b="1"/>
              <a:t>Poland's GVA Time Series from 2017-Q1 to 2025-Q2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GVA'!$D$90:$D$123</c:f>
              <c:numCache>
                <c:formatCode>#\ ##0.00\ "PLN"</c:formatCode>
                <c:ptCount val="34"/>
                <c:pt idx="0">
                  <c:v>411240.3</c:v>
                </c:pt>
                <c:pt idx="1">
                  <c:v>421998</c:v>
                </c:pt>
                <c:pt idx="2">
                  <c:v>430320.3</c:v>
                </c:pt>
                <c:pt idx="3">
                  <c:v>490967.8</c:v>
                </c:pt>
                <c:pt idx="4">
                  <c:v>439707.9</c:v>
                </c:pt>
                <c:pt idx="5">
                  <c:v>452196.1</c:v>
                </c:pt>
                <c:pt idx="6">
                  <c:v>464846.4</c:v>
                </c:pt>
                <c:pt idx="7">
                  <c:v>526763.69999999995</c:v>
                </c:pt>
                <c:pt idx="8">
                  <c:v>474780.8</c:v>
                </c:pt>
                <c:pt idx="9">
                  <c:v>489456.2</c:v>
                </c:pt>
                <c:pt idx="10">
                  <c:v>503638.8</c:v>
                </c:pt>
                <c:pt idx="11">
                  <c:v>568995.69999999995</c:v>
                </c:pt>
                <c:pt idx="12">
                  <c:v>509709.5</c:v>
                </c:pt>
                <c:pt idx="13">
                  <c:v>473153.3</c:v>
                </c:pt>
                <c:pt idx="14">
                  <c:v>517385.4</c:v>
                </c:pt>
                <c:pt idx="15">
                  <c:v>584580.9</c:v>
                </c:pt>
                <c:pt idx="16">
                  <c:v>531027.4</c:v>
                </c:pt>
                <c:pt idx="17">
                  <c:v>548448.69999999995</c:v>
                </c:pt>
                <c:pt idx="18">
                  <c:v>585019.9</c:v>
                </c:pt>
                <c:pt idx="19">
                  <c:v>655913.69999999995</c:v>
                </c:pt>
                <c:pt idx="20">
                  <c:v>622993.80000000005</c:v>
                </c:pt>
                <c:pt idx="21">
                  <c:v>647440.69999999995</c:v>
                </c:pt>
                <c:pt idx="22">
                  <c:v>702235</c:v>
                </c:pt>
                <c:pt idx="23">
                  <c:v>793577</c:v>
                </c:pt>
                <c:pt idx="24">
                  <c:v>722500.8</c:v>
                </c:pt>
                <c:pt idx="25">
                  <c:v>744773.4</c:v>
                </c:pt>
                <c:pt idx="26">
                  <c:v>760667.4</c:v>
                </c:pt>
                <c:pt idx="27">
                  <c:v>857993.4</c:v>
                </c:pt>
                <c:pt idx="28">
                  <c:v>748145</c:v>
                </c:pt>
                <c:pt idx="29">
                  <c:v>772052</c:v>
                </c:pt>
                <c:pt idx="30">
                  <c:v>807767.9</c:v>
                </c:pt>
                <c:pt idx="31">
                  <c:v>921249</c:v>
                </c:pt>
                <c:pt idx="32">
                  <c:v>785342.5</c:v>
                </c:pt>
                <c:pt idx="33">
                  <c:v>816793.1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05-3446-8FA8-08F01C130000}"/>
            </c:ext>
          </c:extLst>
        </c:ser>
        <c:ser>
          <c:idx val="1"/>
          <c:order val="1"/>
          <c:tx>
            <c:v>GVA (no trend)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GVA'!$E$90:$E$123</c:f>
              <c:numCache>
                <c:formatCode>#\ ##0.00\ "PLN"</c:formatCode>
                <c:ptCount val="34"/>
                <c:pt idx="0">
                  <c:v>-51608.299999999988</c:v>
                </c:pt>
                <c:pt idx="1">
                  <c:v>10757.700000000012</c:v>
                </c:pt>
                <c:pt idx="2">
                  <c:v>8322.2999999999884</c:v>
                </c:pt>
                <c:pt idx="3">
                  <c:v>60647.5</c:v>
                </c:pt>
                <c:pt idx="4">
                  <c:v>-51259.899999999965</c:v>
                </c:pt>
                <c:pt idx="5">
                  <c:v>12488.199999999953</c:v>
                </c:pt>
                <c:pt idx="6">
                  <c:v>12650.300000000047</c:v>
                </c:pt>
                <c:pt idx="7">
                  <c:v>61917.29999999993</c:v>
                </c:pt>
                <c:pt idx="8">
                  <c:v>-51982.899999999965</c:v>
                </c:pt>
                <c:pt idx="9">
                  <c:v>14675.400000000023</c:v>
                </c:pt>
                <c:pt idx="10">
                  <c:v>14182.599999999977</c:v>
                </c:pt>
                <c:pt idx="11">
                  <c:v>65356.899999999965</c:v>
                </c:pt>
                <c:pt idx="12">
                  <c:v>-59286.199999999953</c:v>
                </c:pt>
                <c:pt idx="13">
                  <c:v>-36556.200000000012</c:v>
                </c:pt>
                <c:pt idx="14">
                  <c:v>44232.100000000035</c:v>
                </c:pt>
                <c:pt idx="15">
                  <c:v>67195.5</c:v>
                </c:pt>
                <c:pt idx="16">
                  <c:v>-53553.5</c:v>
                </c:pt>
                <c:pt idx="17">
                  <c:v>17421.29999999993</c:v>
                </c:pt>
                <c:pt idx="18">
                  <c:v>36571.20000000007</c:v>
                </c:pt>
                <c:pt idx="19">
                  <c:v>70893.79999999993</c:v>
                </c:pt>
                <c:pt idx="20">
                  <c:v>-32919.899999999907</c:v>
                </c:pt>
                <c:pt idx="21">
                  <c:v>24446.899999999907</c:v>
                </c:pt>
                <c:pt idx="22">
                  <c:v>54794.300000000047</c:v>
                </c:pt>
                <c:pt idx="23">
                  <c:v>91342</c:v>
                </c:pt>
                <c:pt idx="24">
                  <c:v>-71076.199999999953</c:v>
                </c:pt>
                <c:pt idx="25">
                  <c:v>22272.599999999977</c:v>
                </c:pt>
                <c:pt idx="26">
                  <c:v>15894</c:v>
                </c:pt>
                <c:pt idx="27">
                  <c:v>97326</c:v>
                </c:pt>
                <c:pt idx="28">
                  <c:v>-109848.40000000002</c:v>
                </c:pt>
                <c:pt idx="29">
                  <c:v>23907</c:v>
                </c:pt>
                <c:pt idx="30">
                  <c:v>35715.900000000023</c:v>
                </c:pt>
                <c:pt idx="31">
                  <c:v>113481.09999999998</c:v>
                </c:pt>
                <c:pt idx="32">
                  <c:v>-135906.5</c:v>
                </c:pt>
                <c:pt idx="33">
                  <c:v>31450.599999999977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05-3446-8FA8-08F01C130000}"/>
            </c:ext>
          </c:extLst>
        </c:ser>
        <c:ser>
          <c:idx val="2"/>
          <c:order val="2"/>
          <c:tx>
            <c:v>GVA (no trend &amp; no seasonality)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'Poland GVA'!$A$90:$A$123</c:f>
              <c:strCache>
                <c:ptCount val="34"/>
                <c:pt idx="0">
                  <c:v>2017-Q1</c:v>
                </c:pt>
                <c:pt idx="1">
                  <c:v>2017-Q2</c:v>
                </c:pt>
                <c:pt idx="2">
                  <c:v>2017-Q3</c:v>
                </c:pt>
                <c:pt idx="3">
                  <c:v>2017-Q4</c:v>
                </c:pt>
                <c:pt idx="4">
                  <c:v>2018-Q1</c:v>
                </c:pt>
                <c:pt idx="5">
                  <c:v>2018-Q2</c:v>
                </c:pt>
                <c:pt idx="6">
                  <c:v>2018-Q3</c:v>
                </c:pt>
                <c:pt idx="7">
                  <c:v>2018-Q4</c:v>
                </c:pt>
                <c:pt idx="8">
                  <c:v>2019-Q1</c:v>
                </c:pt>
                <c:pt idx="9">
                  <c:v>2019-Q2</c:v>
                </c:pt>
                <c:pt idx="10">
                  <c:v>2019-Q3</c:v>
                </c:pt>
                <c:pt idx="11">
                  <c:v>2019-Q4</c:v>
                </c:pt>
                <c:pt idx="12">
                  <c:v>2020-Q1</c:v>
                </c:pt>
                <c:pt idx="13">
                  <c:v>2020-Q2</c:v>
                </c:pt>
                <c:pt idx="14">
                  <c:v>2020-Q3</c:v>
                </c:pt>
                <c:pt idx="15">
                  <c:v>2020-Q4</c:v>
                </c:pt>
                <c:pt idx="16">
                  <c:v>2021-Q1</c:v>
                </c:pt>
                <c:pt idx="17">
                  <c:v>2021-Q2</c:v>
                </c:pt>
                <c:pt idx="18">
                  <c:v>2021-Q3</c:v>
                </c:pt>
                <c:pt idx="19">
                  <c:v>2021-Q4</c:v>
                </c:pt>
                <c:pt idx="20">
                  <c:v>2022-Q1</c:v>
                </c:pt>
                <c:pt idx="21">
                  <c:v>2022-Q2</c:v>
                </c:pt>
                <c:pt idx="22">
                  <c:v>2022-Q3</c:v>
                </c:pt>
                <c:pt idx="23">
                  <c:v>2022-Q4</c:v>
                </c:pt>
                <c:pt idx="24">
                  <c:v>2023-Q1</c:v>
                </c:pt>
                <c:pt idx="25">
                  <c:v>2023-Q2</c:v>
                </c:pt>
                <c:pt idx="26">
                  <c:v>2023-Q3</c:v>
                </c:pt>
                <c:pt idx="27">
                  <c:v>2023-Q4</c:v>
                </c:pt>
                <c:pt idx="28">
                  <c:v>2024-Q1</c:v>
                </c:pt>
                <c:pt idx="29">
                  <c:v>2024-Q2</c:v>
                </c:pt>
                <c:pt idx="30">
                  <c:v>2024-Q3</c:v>
                </c:pt>
                <c:pt idx="31">
                  <c:v>2024-Q4</c:v>
                </c:pt>
                <c:pt idx="32">
                  <c:v>2025-Q1</c:v>
                </c:pt>
                <c:pt idx="33">
                  <c:v>2025-Q2</c:v>
                </c:pt>
              </c:strCache>
            </c:strRef>
          </c:cat>
          <c:val>
            <c:numRef>
              <c:f>'Poland GVA'!$F$90:$F$123</c:f>
              <c:numCache>
                <c:formatCode>#\ ##0.00\ "PLN"</c:formatCode>
                <c:ptCount val="34"/>
                <c:pt idx="0">
                  <c:v>-2692.4603494623589</c:v>
                </c:pt>
                <c:pt idx="1">
                  <c:v>6328.8877150537819</c:v>
                </c:pt>
                <c:pt idx="2">
                  <c:v>4461.3563172042877</c:v>
                </c:pt>
                <c:pt idx="3">
                  <c:v>20021.416317204305</c:v>
                </c:pt>
                <c:pt idx="4">
                  <c:v>-2344.0603494623356</c:v>
                </c:pt>
                <c:pt idx="5">
                  <c:v>8059.3877150537237</c:v>
                </c:pt>
                <c:pt idx="6">
                  <c:v>8789.3563172043469</c:v>
                </c:pt>
                <c:pt idx="7">
                  <c:v>21291.216317204235</c:v>
                </c:pt>
                <c:pt idx="8">
                  <c:v>-3067.0603494623356</c:v>
                </c:pt>
                <c:pt idx="9">
                  <c:v>10246.587715053793</c:v>
                </c:pt>
                <c:pt idx="10">
                  <c:v>10321.656317204277</c:v>
                </c:pt>
                <c:pt idx="11">
                  <c:v>24730.81631720427</c:v>
                </c:pt>
                <c:pt idx="12">
                  <c:v>-10370.360349462324</c:v>
                </c:pt>
                <c:pt idx="13">
                  <c:v>-40985.012284946242</c:v>
                </c:pt>
                <c:pt idx="14">
                  <c:v>40371.156317204332</c:v>
                </c:pt>
                <c:pt idx="15">
                  <c:v>26569.416317204305</c:v>
                </c:pt>
                <c:pt idx="16">
                  <c:v>-4637.6603494623705</c:v>
                </c:pt>
                <c:pt idx="17">
                  <c:v>12992.4877150537</c:v>
                </c:pt>
                <c:pt idx="18">
                  <c:v>32710.25631720437</c:v>
                </c:pt>
                <c:pt idx="19">
                  <c:v>30267.716317204235</c:v>
                </c:pt>
                <c:pt idx="20">
                  <c:v>15995.939650537723</c:v>
                </c:pt>
                <c:pt idx="21">
                  <c:v>20018.087715053676</c:v>
                </c:pt>
                <c:pt idx="22">
                  <c:v>50933.356317204343</c:v>
                </c:pt>
                <c:pt idx="23">
                  <c:v>50715.916317204305</c:v>
                </c:pt>
                <c:pt idx="24">
                  <c:v>-22160.360349462324</c:v>
                </c:pt>
                <c:pt idx="25">
                  <c:v>17843.787715053746</c:v>
                </c:pt>
                <c:pt idx="26">
                  <c:v>12033.0563172043</c:v>
                </c:pt>
                <c:pt idx="27">
                  <c:v>56699.916317204305</c:v>
                </c:pt>
                <c:pt idx="28">
                  <c:v>-60932.560349462394</c:v>
                </c:pt>
                <c:pt idx="29">
                  <c:v>19478.187715053769</c:v>
                </c:pt>
                <c:pt idx="30">
                  <c:v>31854.956317204324</c:v>
                </c:pt>
                <c:pt idx="31">
                  <c:v>72855.016317204281</c:v>
                </c:pt>
                <c:pt idx="32">
                  <c:v>-86990.660349462371</c:v>
                </c:pt>
                <c:pt idx="33">
                  <c:v>27021.787715053746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05-3446-8FA8-08F01C130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353775"/>
        <c:axId val="2144531663"/>
      </c:lineChart>
      <c:catAx>
        <c:axId val="2123353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2144531663"/>
        <c:crosses val="autoZero"/>
        <c:auto val="1"/>
        <c:lblAlgn val="ctr"/>
        <c:lblOffset val="100"/>
        <c:noMultiLvlLbl val="0"/>
      </c:catAx>
      <c:valAx>
        <c:axId val="214453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2123353775"/>
        <c:crosses val="autoZero"/>
        <c:crossBetween val="between"/>
        <c:dispUnits>
          <c:builtInUnit val="hundred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PL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146049</xdr:colOff>
      <xdr:row>1</xdr:row>
      <xdr:rowOff>44450</xdr:rowOff>
    </xdr:from>
    <xdr:to>
      <xdr:col>19</xdr:col>
      <xdr:colOff>762000</xdr:colOff>
      <xdr:row>32</xdr:row>
      <xdr:rowOff>58420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69CDC6-B73B-BBAA-7DBA-8020B1B25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D4B48B-7D54-7642-BC5D-2990B69FADD1}" autoFormatId="16" applyNumberFormats="0" applyBorderFormats="0" applyFontFormats="0" applyPatternFormats="0" applyAlignmentFormats="0" applyWidthHeightFormats="0">
  <queryTableRefresh nextId="7" unboundColumnsRight="2">
    <queryTableFields count="6">
      <queryTableField id="1" name="Column10" tableColumnId="1"/>
      <queryTableField id="4" dataBound="0" tableColumnId="4"/>
      <queryTableField id="3" dataBound="0" tableColumnId="3"/>
      <queryTableField id="2" name="Column32" tableColumnId="2"/>
      <queryTableField id="5" dataBound="0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C35723-2338-5E4B-A4C9-55EF6B00871C}" name="Poland_GVA" displayName="Poland_GVA" ref="A1:F123" tableType="queryTable" totalsRowShown="0">
  <autoFilter ref="A1:F123" xr:uid="{1FC35723-2338-5E4B-A4C9-55EF6B00871C}"/>
  <tableColumns count="6">
    <tableColumn id="1" xr3:uid="{575AE667-A164-CA4C-A74B-E71CAB4BD2B1}" uniqueName="1" name="TIME" queryTableFieldId="1"/>
    <tableColumn id="4" xr3:uid="{2E0488F1-F83F-4B40-94BC-017B01637012}" uniqueName="4" name="YEAR" queryTableFieldId="4" dataDxfId="8"/>
    <tableColumn id="3" xr3:uid="{4EA60DA4-CC83-7C4D-AA69-4905970F9069}" uniqueName="3" name="QUARTER" queryTableFieldId="3" dataDxfId="7"/>
    <tableColumn id="2" xr3:uid="{AD5F73D1-8187-7648-A554-F237E6CC72DB}" uniqueName="2" name="GVA" queryTableFieldId="2" dataDxfId="6"/>
    <tableColumn id="5" xr3:uid="{1AAA317D-995E-284D-8611-9B732B552875}" uniqueName="5" name="GVA_NOTREND" queryTableFieldId="5"/>
    <tableColumn id="6" xr3:uid="{29764FD9-E008-E94C-A74D-18F394E87B80}" uniqueName="6" name="GVA_NOTREND_NOSEASON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03CA76-9618-DC4C-A8A9-5A823760ADF2}" name="Indicators" displayName="Indicators" ref="A1:C5" totalsRowShown="0">
  <autoFilter ref="A1:C5" xr:uid="{DD03CA76-9618-DC4C-A8A9-5A823760ADF2}"/>
  <tableColumns count="3">
    <tableColumn id="1" xr3:uid="{99948317-C0DE-0A46-A322-BF1526891625}" name="QUARTER" dataDxfId="5"/>
    <tableColumn id="2" xr3:uid="{0C45CE32-C3A2-E84B-A3DB-E5E94983D7F4}" name="RAW" dataDxfId="4">
      <calculatedColumnFormula>AVERAGEIF(Poland_GVA[QUARTER],Indicators[[#This Row],[QUARTER]],Poland_GVA[GVA_NOTREND])</calculatedColumnFormula>
    </tableColumn>
    <tableColumn id="3" xr3:uid="{2901C579-9E3D-8E47-8CBD-B92E7C44268D}" name="CLEANED" dataDxfId="3">
      <calculatedColumnFormula array="1">Indicators[[#This Row],[RAW]]-Table3[AVERAGE_RAW_INDICATORS]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1D747-2CE6-7F42-B379-6F40E896CC4E}" name="Table3" displayName="Table3" ref="A7:A8" totalsRowShown="0" headerRowDxfId="2" dataDxfId="1">
  <autoFilter ref="A7:A8" xr:uid="{B471D747-2CE6-7F42-B379-6F40E896CC4E}"/>
  <tableColumns count="1">
    <tableColumn id="1" xr3:uid="{4A9EFCBB-05BB-D944-8AB6-D10649A7C46C}" name="AVERAGE_RAW_INDICATORS" dataDxfId="0">
      <calculatedColumnFormula>AVERAGE(Indicators[RAW])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CC08-B680-3746-A0EB-52269A8A055A}">
  <dimension ref="A1:F123"/>
  <sheetViews>
    <sheetView tabSelected="1" workbookViewId="0">
      <selection activeCell="G6" sqref="G6"/>
    </sheetView>
  </sheetViews>
  <sheetFormatPr baseColWidth="10" defaultRowHeight="16" x14ac:dyDescent="0.2"/>
  <cols>
    <col min="1" max="1" width="8.1640625" bestFit="1" customWidth="1"/>
    <col min="2" max="2" width="8" style="2" bestFit="1" customWidth="1"/>
    <col min="3" max="3" width="11.5" style="2" bestFit="1" customWidth="1"/>
    <col min="4" max="4" width="13.5" style="3" bestFit="1" customWidth="1"/>
    <col min="5" max="5" width="16.5" bestFit="1" customWidth="1"/>
    <col min="6" max="6" width="27.1640625" bestFit="1" customWidth="1"/>
  </cols>
  <sheetData>
    <row r="1" spans="1:6" x14ac:dyDescent="0.2">
      <c r="A1" t="s">
        <v>0</v>
      </c>
      <c r="B1" s="2" t="s">
        <v>124</v>
      </c>
      <c r="C1" s="2" t="s">
        <v>125</v>
      </c>
      <c r="D1" s="3" t="s">
        <v>123</v>
      </c>
      <c r="E1" t="s">
        <v>126</v>
      </c>
      <c r="F1" t="s">
        <v>130</v>
      </c>
    </row>
    <row r="2" spans="1:6" x14ac:dyDescent="0.2">
      <c r="A2" t="s">
        <v>1</v>
      </c>
      <c r="B2" s="2">
        <v>1995</v>
      </c>
      <c r="C2" s="2">
        <v>1</v>
      </c>
      <c r="D2" s="3">
        <v>68743.100000000006</v>
      </c>
    </row>
    <row r="3" spans="1:6" x14ac:dyDescent="0.2">
      <c r="A3" t="s">
        <v>2</v>
      </c>
      <c r="B3" s="2">
        <v>1995</v>
      </c>
      <c r="C3" s="2">
        <v>2</v>
      </c>
      <c r="D3" s="3">
        <v>73953.2</v>
      </c>
      <c r="E3" s="3">
        <f>Poland_GVA[[#This Row],[GVA]]-D2</f>
        <v>5210.0999999999913</v>
      </c>
      <c r="F3" s="3">
        <f>Poland_GVA[[#This Row],[GVA_NOTREND]]-_xlfn.XLOOKUP(Poland_GVA[[#This Row],[QUARTER]],Indicators[QUARTER],Indicators[CLEANED],0)</f>
        <v>781.28771505376153</v>
      </c>
    </row>
    <row r="4" spans="1:6" x14ac:dyDescent="0.2">
      <c r="A4" t="s">
        <v>3</v>
      </c>
      <c r="B4" s="2">
        <v>1995</v>
      </c>
      <c r="C4" s="2">
        <v>3</v>
      </c>
      <c r="D4" s="3">
        <v>78749.899999999994</v>
      </c>
      <c r="E4" s="3">
        <f>Poland_GVA[[#This Row],[GVA]]-D3</f>
        <v>4796.6999999999971</v>
      </c>
      <c r="F4" s="3">
        <f>Poland_GVA[[#This Row],[GVA_NOTREND]]-_xlfn.XLOOKUP(Poland_GVA[[#This Row],[QUARTER]],Indicators[QUARTER],Indicators[CLEANED],0)</f>
        <v>935.75631720429647</v>
      </c>
    </row>
    <row r="5" spans="1:6" x14ac:dyDescent="0.2">
      <c r="A5" t="s">
        <v>4</v>
      </c>
      <c r="B5" s="2">
        <v>1995</v>
      </c>
      <c r="C5" s="2">
        <v>4</v>
      </c>
      <c r="D5" s="3">
        <v>84237.1</v>
      </c>
      <c r="E5" s="3">
        <f>Poland_GVA[[#This Row],[GVA]]-D4</f>
        <v>5487.2000000000116</v>
      </c>
      <c r="F5" s="3">
        <f>Poland_GVA[[#This Row],[GVA_NOTREND]]-_xlfn.XLOOKUP(Poland_GVA[[#This Row],[QUARTER]],Indicators[QUARTER],Indicators[CLEANED],0)</f>
        <v>-35138.883682795684</v>
      </c>
    </row>
    <row r="6" spans="1:6" x14ac:dyDescent="0.2">
      <c r="A6" t="s">
        <v>5</v>
      </c>
      <c r="B6" s="2">
        <f>B2+1</f>
        <v>1996</v>
      </c>
      <c r="C6" s="2">
        <f>C2</f>
        <v>1</v>
      </c>
      <c r="D6" s="3">
        <v>84954.2</v>
      </c>
      <c r="E6" s="3">
        <f>Poland_GVA[[#This Row],[GVA]]-D5</f>
        <v>717.09999999999127</v>
      </c>
      <c r="F6" s="3">
        <f>Poland_GVA[[#This Row],[GVA_NOTREND]]-_xlfn.XLOOKUP(Poland_GVA[[#This Row],[QUARTER]],Indicators[QUARTER],Indicators[CLEANED],0)</f>
        <v>49632.939650537621</v>
      </c>
    </row>
    <row r="7" spans="1:6" x14ac:dyDescent="0.2">
      <c r="A7" t="s">
        <v>6</v>
      </c>
      <c r="B7" s="2">
        <f t="shared" ref="B7:B70" si="0">B3+1</f>
        <v>1996</v>
      </c>
      <c r="C7" s="2">
        <f t="shared" ref="C7:C70" si="1">C3</f>
        <v>2</v>
      </c>
      <c r="D7" s="3">
        <v>91395.4</v>
      </c>
      <c r="E7" s="3">
        <f>Poland_GVA[[#This Row],[GVA]]-D6</f>
        <v>6441.1999999999971</v>
      </c>
      <c r="F7" s="3">
        <f>Poland_GVA[[#This Row],[GVA_NOTREND]]-_xlfn.XLOOKUP(Poland_GVA[[#This Row],[QUARTER]],Indicators[QUARTER],Indicators[CLEANED],0)</f>
        <v>2012.3877150537674</v>
      </c>
    </row>
    <row r="8" spans="1:6" x14ac:dyDescent="0.2">
      <c r="A8" t="s">
        <v>7</v>
      </c>
      <c r="B8" s="2">
        <f t="shared" si="0"/>
        <v>1996</v>
      </c>
      <c r="C8" s="2">
        <f t="shared" si="1"/>
        <v>3</v>
      </c>
      <c r="D8" s="3">
        <v>96068.9</v>
      </c>
      <c r="E8" s="3">
        <f>Poland_GVA[[#This Row],[GVA]]-D7</f>
        <v>4673.5</v>
      </c>
      <c r="F8" s="3">
        <f>Poland_GVA[[#This Row],[GVA_NOTREND]]-_xlfn.XLOOKUP(Poland_GVA[[#This Row],[QUARTER]],Indicators[QUARTER],Indicators[CLEANED],0)</f>
        <v>812.55631720429938</v>
      </c>
    </row>
    <row r="9" spans="1:6" x14ac:dyDescent="0.2">
      <c r="A9" t="s">
        <v>8</v>
      </c>
      <c r="B9" s="2">
        <f t="shared" si="0"/>
        <v>1996</v>
      </c>
      <c r="C9" s="2">
        <f t="shared" si="1"/>
        <v>4</v>
      </c>
      <c r="D9" s="3">
        <v>109196</v>
      </c>
      <c r="E9" s="3">
        <f>Poland_GVA[[#This Row],[GVA]]-D8</f>
        <v>13127.100000000006</v>
      </c>
      <c r="F9" s="3">
        <f>Poland_GVA[[#This Row],[GVA_NOTREND]]-_xlfn.XLOOKUP(Poland_GVA[[#This Row],[QUARTER]],Indicators[QUARTER],Indicators[CLEANED],0)</f>
        <v>-27498.98368279569</v>
      </c>
    </row>
    <row r="10" spans="1:6" x14ac:dyDescent="0.2">
      <c r="A10" t="s">
        <v>9</v>
      </c>
      <c r="B10" s="2">
        <f t="shared" si="0"/>
        <v>1997</v>
      </c>
      <c r="C10" s="2">
        <f t="shared" si="1"/>
        <v>1</v>
      </c>
      <c r="D10" s="3">
        <v>103311.4</v>
      </c>
      <c r="E10" s="3">
        <f>Poland_GVA[[#This Row],[GVA]]-D9</f>
        <v>-5884.6000000000058</v>
      </c>
      <c r="F10" s="3">
        <f>Poland_GVA[[#This Row],[GVA_NOTREND]]-_xlfn.XLOOKUP(Poland_GVA[[#This Row],[QUARTER]],Indicators[QUARTER],Indicators[CLEANED],0)</f>
        <v>43031.239650537624</v>
      </c>
    </row>
    <row r="11" spans="1:6" x14ac:dyDescent="0.2">
      <c r="A11" t="s">
        <v>10</v>
      </c>
      <c r="B11" s="2">
        <f t="shared" si="0"/>
        <v>1997</v>
      </c>
      <c r="C11" s="2">
        <f t="shared" si="1"/>
        <v>2</v>
      </c>
      <c r="D11" s="3">
        <v>111297.5</v>
      </c>
      <c r="E11" s="3">
        <f>Poland_GVA[[#This Row],[GVA]]-D10</f>
        <v>7986.1000000000058</v>
      </c>
      <c r="F11" s="3">
        <f>Poland_GVA[[#This Row],[GVA_NOTREND]]-_xlfn.XLOOKUP(Poland_GVA[[#This Row],[QUARTER]],Indicators[QUARTER],Indicators[CLEANED],0)</f>
        <v>3557.2877150537761</v>
      </c>
    </row>
    <row r="12" spans="1:6" x14ac:dyDescent="0.2">
      <c r="A12" t="s">
        <v>11</v>
      </c>
      <c r="B12" s="2">
        <f t="shared" si="0"/>
        <v>1997</v>
      </c>
      <c r="C12" s="2">
        <f t="shared" si="1"/>
        <v>3</v>
      </c>
      <c r="D12" s="3">
        <v>115939.7</v>
      </c>
      <c r="E12" s="3">
        <f>Poland_GVA[[#This Row],[GVA]]-D11</f>
        <v>4642.1999999999971</v>
      </c>
      <c r="F12" s="3">
        <f>Poland_GVA[[#This Row],[GVA_NOTREND]]-_xlfn.XLOOKUP(Poland_GVA[[#This Row],[QUARTER]],Indicators[QUARTER],Indicators[CLEANED],0)</f>
        <v>781.25631720429647</v>
      </c>
    </row>
    <row r="13" spans="1:6" x14ac:dyDescent="0.2">
      <c r="A13" t="s">
        <v>12</v>
      </c>
      <c r="B13" s="2">
        <f t="shared" si="0"/>
        <v>1997</v>
      </c>
      <c r="C13" s="2">
        <f t="shared" si="1"/>
        <v>4</v>
      </c>
      <c r="D13" s="3">
        <v>132156.5</v>
      </c>
      <c r="E13" s="3">
        <f>Poland_GVA[[#This Row],[GVA]]-D12</f>
        <v>16216.800000000003</v>
      </c>
      <c r="F13" s="3">
        <f>Poland_GVA[[#This Row],[GVA_NOTREND]]-_xlfn.XLOOKUP(Poland_GVA[[#This Row],[QUARTER]],Indicators[QUARTER],Indicators[CLEANED],0)</f>
        <v>-24409.283682795693</v>
      </c>
    </row>
    <row r="14" spans="1:6" x14ac:dyDescent="0.2">
      <c r="A14" t="s">
        <v>13</v>
      </c>
      <c r="B14" s="2">
        <f t="shared" si="0"/>
        <v>1998</v>
      </c>
      <c r="C14" s="2">
        <f t="shared" si="1"/>
        <v>1</v>
      </c>
      <c r="D14" s="3">
        <v>121689.8</v>
      </c>
      <c r="E14" s="3">
        <f>Poland_GVA[[#This Row],[GVA]]-D13</f>
        <v>-10466.699999999997</v>
      </c>
      <c r="F14" s="3">
        <f>Poland_GVA[[#This Row],[GVA_NOTREND]]-_xlfn.XLOOKUP(Poland_GVA[[#This Row],[QUARTER]],Indicators[QUARTER],Indicators[CLEANED],0)</f>
        <v>38449.139650537632</v>
      </c>
    </row>
    <row r="15" spans="1:6" x14ac:dyDescent="0.2">
      <c r="A15" t="s">
        <v>14</v>
      </c>
      <c r="B15" s="2">
        <f t="shared" si="0"/>
        <v>1998</v>
      </c>
      <c r="C15" s="2">
        <f t="shared" si="1"/>
        <v>2</v>
      </c>
      <c r="D15" s="3">
        <v>129131.1</v>
      </c>
      <c r="E15" s="3">
        <f>Poland_GVA[[#This Row],[GVA]]-D14</f>
        <v>7441.3000000000029</v>
      </c>
      <c r="F15" s="3">
        <f>Poland_GVA[[#This Row],[GVA_NOTREND]]-_xlfn.XLOOKUP(Poland_GVA[[#This Row],[QUARTER]],Indicators[QUARTER],Indicators[CLEANED],0)</f>
        <v>3012.4877150537732</v>
      </c>
    </row>
    <row r="16" spans="1:6" x14ac:dyDescent="0.2">
      <c r="A16" t="s">
        <v>15</v>
      </c>
      <c r="B16" s="2">
        <f t="shared" si="0"/>
        <v>1998</v>
      </c>
      <c r="C16" s="2">
        <f t="shared" si="1"/>
        <v>3</v>
      </c>
      <c r="D16" s="3">
        <v>135117.9</v>
      </c>
      <c r="E16" s="3">
        <f>Poland_GVA[[#This Row],[GVA]]-D15</f>
        <v>5986.7999999999884</v>
      </c>
      <c r="F16" s="3">
        <f>Poland_GVA[[#This Row],[GVA_NOTREND]]-_xlfn.XLOOKUP(Poland_GVA[[#This Row],[QUARTER]],Indicators[QUARTER],Indicators[CLEANED],0)</f>
        <v>2125.8563172042877</v>
      </c>
    </row>
    <row r="17" spans="1:6" x14ac:dyDescent="0.2">
      <c r="A17" t="s">
        <v>16</v>
      </c>
      <c r="B17" s="2">
        <f t="shared" si="0"/>
        <v>1998</v>
      </c>
      <c r="C17" s="2">
        <f t="shared" si="1"/>
        <v>4</v>
      </c>
      <c r="D17" s="3">
        <v>154674.29999999999</v>
      </c>
      <c r="E17" s="3">
        <f>Poland_GVA[[#This Row],[GVA]]-D16</f>
        <v>19556.399999999994</v>
      </c>
      <c r="F17" s="3">
        <f>Poland_GVA[[#This Row],[GVA_NOTREND]]-_xlfn.XLOOKUP(Poland_GVA[[#This Row],[QUARTER]],Indicators[QUARTER],Indicators[CLEANED],0)</f>
        <v>-21069.683682795701</v>
      </c>
    </row>
    <row r="18" spans="1:6" x14ac:dyDescent="0.2">
      <c r="A18" t="s">
        <v>17</v>
      </c>
      <c r="B18" s="2">
        <f t="shared" si="0"/>
        <v>1999</v>
      </c>
      <c r="C18" s="2">
        <f t="shared" si="1"/>
        <v>1</v>
      </c>
      <c r="D18" s="3">
        <v>130105.4</v>
      </c>
      <c r="E18" s="3">
        <f>Poland_GVA[[#This Row],[GVA]]-D17</f>
        <v>-24568.899999999994</v>
      </c>
      <c r="F18" s="3">
        <f>Poland_GVA[[#This Row],[GVA_NOTREND]]-_xlfn.XLOOKUP(Poland_GVA[[#This Row],[QUARTER]],Indicators[QUARTER],Indicators[CLEANED],0)</f>
        <v>24346.939650537635</v>
      </c>
    </row>
    <row r="19" spans="1:6" x14ac:dyDescent="0.2">
      <c r="A19" t="s">
        <v>18</v>
      </c>
      <c r="B19" s="2">
        <f t="shared" si="0"/>
        <v>1999</v>
      </c>
      <c r="C19" s="2">
        <f t="shared" si="1"/>
        <v>2</v>
      </c>
      <c r="D19" s="3">
        <v>141362.5</v>
      </c>
      <c r="E19" s="3">
        <f>Poland_GVA[[#This Row],[GVA]]-D18</f>
        <v>11257.100000000006</v>
      </c>
      <c r="F19" s="3">
        <f>Poland_GVA[[#This Row],[GVA_NOTREND]]-_xlfn.XLOOKUP(Poland_GVA[[#This Row],[QUARTER]],Indicators[QUARTER],Indicators[CLEANED],0)</f>
        <v>6828.2877150537761</v>
      </c>
    </row>
    <row r="20" spans="1:6" x14ac:dyDescent="0.2">
      <c r="A20" t="s">
        <v>19</v>
      </c>
      <c r="B20" s="2">
        <f t="shared" si="0"/>
        <v>1999</v>
      </c>
      <c r="C20" s="2">
        <f t="shared" si="1"/>
        <v>3</v>
      </c>
      <c r="D20" s="3">
        <v>147875.79999999999</v>
      </c>
      <c r="E20" s="3">
        <f>Poland_GVA[[#This Row],[GVA]]-D19</f>
        <v>6513.2999999999884</v>
      </c>
      <c r="F20" s="3">
        <f>Poland_GVA[[#This Row],[GVA_NOTREND]]-_xlfn.XLOOKUP(Poland_GVA[[#This Row],[QUARTER]],Indicators[QUARTER],Indicators[CLEANED],0)</f>
        <v>2652.3563172042877</v>
      </c>
    </row>
    <row r="21" spans="1:6" x14ac:dyDescent="0.2">
      <c r="A21" t="s">
        <v>20</v>
      </c>
      <c r="B21" s="2">
        <f t="shared" si="0"/>
        <v>1999</v>
      </c>
      <c r="C21" s="2">
        <f t="shared" si="1"/>
        <v>4</v>
      </c>
      <c r="D21" s="3">
        <v>176650</v>
      </c>
      <c r="E21" s="3">
        <f>Poland_GVA[[#This Row],[GVA]]-D20</f>
        <v>28774.200000000012</v>
      </c>
      <c r="F21" s="3">
        <f>Poland_GVA[[#This Row],[GVA_NOTREND]]-_xlfn.XLOOKUP(Poland_GVA[[#This Row],[QUARTER]],Indicators[QUARTER],Indicators[CLEANED],0)</f>
        <v>-11851.883682795684</v>
      </c>
    </row>
    <row r="22" spans="1:6" x14ac:dyDescent="0.2">
      <c r="A22" t="s">
        <v>21</v>
      </c>
      <c r="B22" s="2">
        <f t="shared" si="0"/>
        <v>2000</v>
      </c>
      <c r="C22" s="2">
        <f t="shared" si="1"/>
        <v>1</v>
      </c>
      <c r="D22" s="3">
        <v>150188.20000000001</v>
      </c>
      <c r="E22" s="3">
        <f>Poland_GVA[[#This Row],[GVA]]-D21</f>
        <v>-26461.799999999988</v>
      </c>
      <c r="F22" s="3">
        <f>Poland_GVA[[#This Row],[GVA_NOTREND]]-_xlfn.XLOOKUP(Poland_GVA[[#This Row],[QUARTER]],Indicators[QUARTER],Indicators[CLEANED],0)</f>
        <v>22454.039650537641</v>
      </c>
    </row>
    <row r="23" spans="1:6" x14ac:dyDescent="0.2">
      <c r="A23" t="s">
        <v>22</v>
      </c>
      <c r="B23" s="2">
        <f t="shared" si="0"/>
        <v>2000</v>
      </c>
      <c r="C23" s="2">
        <f t="shared" si="1"/>
        <v>2</v>
      </c>
      <c r="D23" s="3">
        <v>159789.70000000001</v>
      </c>
      <c r="E23" s="3">
        <f>Poland_GVA[[#This Row],[GVA]]-D22</f>
        <v>9601.5</v>
      </c>
      <c r="F23" s="3">
        <f>Poland_GVA[[#This Row],[GVA_NOTREND]]-_xlfn.XLOOKUP(Poland_GVA[[#This Row],[QUARTER]],Indicators[QUARTER],Indicators[CLEANED],0)</f>
        <v>5172.6877150537703</v>
      </c>
    </row>
    <row r="24" spans="1:6" x14ac:dyDescent="0.2">
      <c r="A24" t="s">
        <v>23</v>
      </c>
      <c r="B24" s="2">
        <f t="shared" si="0"/>
        <v>2000</v>
      </c>
      <c r="C24" s="2">
        <f t="shared" si="1"/>
        <v>3</v>
      </c>
      <c r="D24" s="3">
        <v>165655.1</v>
      </c>
      <c r="E24" s="3">
        <f>Poland_GVA[[#This Row],[GVA]]-D23</f>
        <v>5865.3999999999942</v>
      </c>
      <c r="F24" s="3">
        <f>Poland_GVA[[#This Row],[GVA_NOTREND]]-_xlfn.XLOOKUP(Poland_GVA[[#This Row],[QUARTER]],Indicators[QUARTER],Indicators[CLEANED],0)</f>
        <v>2004.4563172042936</v>
      </c>
    </row>
    <row r="25" spans="1:6" x14ac:dyDescent="0.2">
      <c r="A25" t="s">
        <v>24</v>
      </c>
      <c r="B25" s="2">
        <f t="shared" si="0"/>
        <v>2000</v>
      </c>
      <c r="C25" s="2">
        <f t="shared" si="1"/>
        <v>4</v>
      </c>
      <c r="D25" s="3">
        <v>191874.4</v>
      </c>
      <c r="E25" s="3">
        <f>Poland_GVA[[#This Row],[GVA]]-D24</f>
        <v>26219.299999999988</v>
      </c>
      <c r="F25" s="3">
        <f>Poland_GVA[[#This Row],[GVA_NOTREND]]-_xlfn.XLOOKUP(Poland_GVA[[#This Row],[QUARTER]],Indicators[QUARTER],Indicators[CLEANED],0)</f>
        <v>-14406.783682795707</v>
      </c>
    </row>
    <row r="26" spans="1:6" x14ac:dyDescent="0.2">
      <c r="A26" t="s">
        <v>25</v>
      </c>
      <c r="B26" s="2">
        <f t="shared" si="0"/>
        <v>2001</v>
      </c>
      <c r="C26" s="2">
        <f t="shared" si="1"/>
        <v>1</v>
      </c>
      <c r="D26" s="3">
        <v>161444.9</v>
      </c>
      <c r="E26" s="3">
        <f>Poland_GVA[[#This Row],[GVA]]-D25</f>
        <v>-30429.5</v>
      </c>
      <c r="F26" s="3">
        <f>Poland_GVA[[#This Row],[GVA_NOTREND]]-_xlfn.XLOOKUP(Poland_GVA[[#This Row],[QUARTER]],Indicators[QUARTER],Indicators[CLEANED],0)</f>
        <v>18486.339650537629</v>
      </c>
    </row>
    <row r="27" spans="1:6" x14ac:dyDescent="0.2">
      <c r="A27" t="s">
        <v>26</v>
      </c>
      <c r="B27" s="2">
        <f t="shared" si="0"/>
        <v>2001</v>
      </c>
      <c r="C27" s="2">
        <f t="shared" si="1"/>
        <v>2</v>
      </c>
      <c r="D27" s="3">
        <v>169730.3</v>
      </c>
      <c r="E27" s="3">
        <f>Poland_GVA[[#This Row],[GVA]]-D26</f>
        <v>8285.3999999999942</v>
      </c>
      <c r="F27" s="3">
        <f>Poland_GVA[[#This Row],[GVA_NOTREND]]-_xlfn.XLOOKUP(Poland_GVA[[#This Row],[QUARTER]],Indicators[QUARTER],Indicators[CLEANED],0)</f>
        <v>3856.5877150537644</v>
      </c>
    </row>
    <row r="28" spans="1:6" x14ac:dyDescent="0.2">
      <c r="A28" t="s">
        <v>27</v>
      </c>
      <c r="B28" s="2">
        <f t="shared" si="0"/>
        <v>2001</v>
      </c>
      <c r="C28" s="2">
        <f t="shared" si="1"/>
        <v>3</v>
      </c>
      <c r="D28" s="3">
        <v>172356.2</v>
      </c>
      <c r="E28" s="3">
        <f>Poland_GVA[[#This Row],[GVA]]-D27</f>
        <v>2625.9000000000233</v>
      </c>
      <c r="F28" s="3">
        <f>Poland_GVA[[#This Row],[GVA_NOTREND]]-_xlfn.XLOOKUP(Poland_GVA[[#This Row],[QUARTER]],Indicators[QUARTER],Indicators[CLEANED],0)</f>
        <v>-1235.0436827956773</v>
      </c>
    </row>
    <row r="29" spans="1:6" x14ac:dyDescent="0.2">
      <c r="A29" t="s">
        <v>28</v>
      </c>
      <c r="B29" s="2">
        <f t="shared" si="0"/>
        <v>2001</v>
      </c>
      <c r="C29" s="2">
        <f t="shared" si="1"/>
        <v>4</v>
      </c>
      <c r="D29" s="3">
        <v>195044.6</v>
      </c>
      <c r="E29" s="3">
        <f>Poland_GVA[[#This Row],[GVA]]-D28</f>
        <v>22688.399999999994</v>
      </c>
      <c r="F29" s="3">
        <f>Poland_GVA[[#This Row],[GVA_NOTREND]]-_xlfn.XLOOKUP(Poland_GVA[[#This Row],[QUARTER]],Indicators[QUARTER],Indicators[CLEANED],0)</f>
        <v>-17937.683682795701</v>
      </c>
    </row>
    <row r="30" spans="1:6" x14ac:dyDescent="0.2">
      <c r="A30" t="s">
        <v>29</v>
      </c>
      <c r="B30" s="2">
        <f t="shared" si="0"/>
        <v>2002</v>
      </c>
      <c r="C30" s="2">
        <f t="shared" si="1"/>
        <v>1</v>
      </c>
      <c r="D30" s="3">
        <v>169021.1</v>
      </c>
      <c r="E30" s="3">
        <f>Poland_GVA[[#This Row],[GVA]]-D29</f>
        <v>-26023.5</v>
      </c>
      <c r="F30" s="3">
        <f>Poland_GVA[[#This Row],[GVA_NOTREND]]-_xlfn.XLOOKUP(Poland_GVA[[#This Row],[QUARTER]],Indicators[QUARTER],Indicators[CLEANED],0)</f>
        <v>22892.339650537629</v>
      </c>
    </row>
    <row r="31" spans="1:6" x14ac:dyDescent="0.2">
      <c r="A31" t="s">
        <v>30</v>
      </c>
      <c r="B31" s="2">
        <f t="shared" si="0"/>
        <v>2002</v>
      </c>
      <c r="C31" s="2">
        <f t="shared" si="1"/>
        <v>2</v>
      </c>
      <c r="D31" s="3">
        <v>173442.8</v>
      </c>
      <c r="E31" s="3">
        <f>Poland_GVA[[#This Row],[GVA]]-D30</f>
        <v>4421.6999999999825</v>
      </c>
      <c r="F31" s="3">
        <f>Poland_GVA[[#This Row],[GVA_NOTREND]]-_xlfn.XLOOKUP(Poland_GVA[[#This Row],[QUARTER]],Indicators[QUARTER],Indicators[CLEANED],0)</f>
        <v>-7.1122849462472004</v>
      </c>
    </row>
    <row r="32" spans="1:6" x14ac:dyDescent="0.2">
      <c r="A32" t="s">
        <v>31</v>
      </c>
      <c r="B32" s="2">
        <f t="shared" si="0"/>
        <v>2002</v>
      </c>
      <c r="C32" s="2">
        <f t="shared" si="1"/>
        <v>3</v>
      </c>
      <c r="D32" s="3">
        <v>177919.5</v>
      </c>
      <c r="E32" s="3">
        <f>Poland_GVA[[#This Row],[GVA]]-D31</f>
        <v>4476.7000000000116</v>
      </c>
      <c r="F32" s="3">
        <f>Poland_GVA[[#This Row],[GVA_NOTREND]]-_xlfn.XLOOKUP(Poland_GVA[[#This Row],[QUARTER]],Indicators[QUARTER],Indicators[CLEANED],0)</f>
        <v>615.75631720431102</v>
      </c>
    </row>
    <row r="33" spans="1:6" x14ac:dyDescent="0.2">
      <c r="A33" t="s">
        <v>32</v>
      </c>
      <c r="B33" s="2">
        <f t="shared" si="0"/>
        <v>2002</v>
      </c>
      <c r="C33" s="2">
        <f t="shared" si="1"/>
        <v>4</v>
      </c>
      <c r="D33" s="3">
        <v>198728.4</v>
      </c>
      <c r="E33" s="3">
        <f>Poland_GVA[[#This Row],[GVA]]-D32</f>
        <v>20808.899999999994</v>
      </c>
      <c r="F33" s="3">
        <f>Poland_GVA[[#This Row],[GVA_NOTREND]]-_xlfn.XLOOKUP(Poland_GVA[[#This Row],[QUARTER]],Indicators[QUARTER],Indicators[CLEANED],0)</f>
        <v>-19817.183682795701</v>
      </c>
    </row>
    <row r="34" spans="1:6" x14ac:dyDescent="0.2">
      <c r="A34" t="s">
        <v>33</v>
      </c>
      <c r="B34" s="2">
        <f t="shared" si="0"/>
        <v>2003</v>
      </c>
      <c r="C34" s="2">
        <f t="shared" si="1"/>
        <v>1</v>
      </c>
      <c r="D34" s="3">
        <v>172663.5</v>
      </c>
      <c r="E34" s="3">
        <f>Poland_GVA[[#This Row],[GVA]]-D33</f>
        <v>-26064.899999999994</v>
      </c>
      <c r="F34" s="3">
        <f>Poland_GVA[[#This Row],[GVA_NOTREND]]-_xlfn.XLOOKUP(Poland_GVA[[#This Row],[QUARTER]],Indicators[QUARTER],Indicators[CLEANED],0)</f>
        <v>22850.939650537635</v>
      </c>
    </row>
    <row r="35" spans="1:6" x14ac:dyDescent="0.2">
      <c r="A35" t="s">
        <v>34</v>
      </c>
      <c r="B35" s="2">
        <f t="shared" si="0"/>
        <v>2003</v>
      </c>
      <c r="C35" s="2">
        <f t="shared" si="1"/>
        <v>2</v>
      </c>
      <c r="D35" s="3">
        <v>183454.2</v>
      </c>
      <c r="E35" s="3">
        <f>Poland_GVA[[#This Row],[GVA]]-D34</f>
        <v>10790.700000000012</v>
      </c>
      <c r="F35" s="3">
        <f>Poland_GVA[[#This Row],[GVA_NOTREND]]-_xlfn.XLOOKUP(Poland_GVA[[#This Row],[QUARTER]],Indicators[QUARTER],Indicators[CLEANED],0)</f>
        <v>6361.8877150537819</v>
      </c>
    </row>
    <row r="36" spans="1:6" x14ac:dyDescent="0.2">
      <c r="A36" t="s">
        <v>35</v>
      </c>
      <c r="B36" s="2">
        <f t="shared" si="0"/>
        <v>2003</v>
      </c>
      <c r="C36" s="2">
        <f t="shared" si="1"/>
        <v>3</v>
      </c>
      <c r="D36" s="3">
        <v>183902.8</v>
      </c>
      <c r="E36" s="3">
        <f>Poland_GVA[[#This Row],[GVA]]-D35</f>
        <v>448.59999999997672</v>
      </c>
      <c r="F36" s="3">
        <f>Poland_GVA[[#This Row],[GVA_NOTREND]]-_xlfn.XLOOKUP(Poland_GVA[[#This Row],[QUARTER]],Indicators[QUARTER],Indicators[CLEANED],0)</f>
        <v>-3412.3436827957239</v>
      </c>
    </row>
    <row r="37" spans="1:6" x14ac:dyDescent="0.2">
      <c r="A37" t="s">
        <v>36</v>
      </c>
      <c r="B37" s="2">
        <f t="shared" si="0"/>
        <v>2003</v>
      </c>
      <c r="C37" s="2">
        <f t="shared" si="1"/>
        <v>4</v>
      </c>
      <c r="D37" s="3">
        <v>209265.7</v>
      </c>
      <c r="E37" s="3">
        <f>Poland_GVA[[#This Row],[GVA]]-D36</f>
        <v>25362.900000000023</v>
      </c>
      <c r="F37" s="3">
        <f>Poland_GVA[[#This Row],[GVA_NOTREND]]-_xlfn.XLOOKUP(Poland_GVA[[#This Row],[QUARTER]],Indicators[QUARTER],Indicators[CLEANED],0)</f>
        <v>-15263.183682795672</v>
      </c>
    </row>
    <row r="38" spans="1:6" x14ac:dyDescent="0.2">
      <c r="A38" t="s">
        <v>37</v>
      </c>
      <c r="B38" s="2">
        <f t="shared" si="0"/>
        <v>2004</v>
      </c>
      <c r="C38" s="2">
        <f t="shared" si="1"/>
        <v>1</v>
      </c>
      <c r="D38" s="3">
        <v>187771.2</v>
      </c>
      <c r="E38" s="3">
        <f>Poland_GVA[[#This Row],[GVA]]-D37</f>
        <v>-21494.5</v>
      </c>
      <c r="F38" s="3">
        <f>Poland_GVA[[#This Row],[GVA_NOTREND]]-_xlfn.XLOOKUP(Poland_GVA[[#This Row],[QUARTER]],Indicators[QUARTER],Indicators[CLEANED],0)</f>
        <v>27421.339650537629</v>
      </c>
    </row>
    <row r="39" spans="1:6" x14ac:dyDescent="0.2">
      <c r="A39" t="s">
        <v>38</v>
      </c>
      <c r="B39" s="2">
        <f t="shared" si="0"/>
        <v>2004</v>
      </c>
      <c r="C39" s="2">
        <f t="shared" si="1"/>
        <v>2</v>
      </c>
      <c r="D39" s="3">
        <v>205158.9</v>
      </c>
      <c r="E39" s="3">
        <f>Poland_GVA[[#This Row],[GVA]]-D38</f>
        <v>17387.699999999983</v>
      </c>
      <c r="F39" s="3">
        <f>Poland_GVA[[#This Row],[GVA_NOTREND]]-_xlfn.XLOOKUP(Poland_GVA[[#This Row],[QUARTER]],Indicators[QUARTER],Indicators[CLEANED],0)</f>
        <v>12958.887715053752</v>
      </c>
    </row>
    <row r="40" spans="1:6" x14ac:dyDescent="0.2">
      <c r="A40" t="s">
        <v>39</v>
      </c>
      <c r="B40" s="2">
        <f t="shared" si="0"/>
        <v>2004</v>
      </c>
      <c r="C40" s="2">
        <f t="shared" si="1"/>
        <v>3</v>
      </c>
      <c r="D40" s="3">
        <v>202256.8</v>
      </c>
      <c r="E40" s="3">
        <f>Poland_GVA[[#This Row],[GVA]]-D39</f>
        <v>-2902.1000000000058</v>
      </c>
      <c r="F40" s="3">
        <f>Poland_GVA[[#This Row],[GVA_NOTREND]]-_xlfn.XLOOKUP(Poland_GVA[[#This Row],[QUARTER]],Indicators[QUARTER],Indicators[CLEANED],0)</f>
        <v>-6763.0436827957064</v>
      </c>
    </row>
    <row r="41" spans="1:6" x14ac:dyDescent="0.2">
      <c r="A41" t="s">
        <v>40</v>
      </c>
      <c r="B41" s="2">
        <f t="shared" si="0"/>
        <v>2004</v>
      </c>
      <c r="C41" s="2">
        <f t="shared" si="1"/>
        <v>4</v>
      </c>
      <c r="D41" s="3">
        <v>234379</v>
      </c>
      <c r="E41" s="3">
        <f>Poland_GVA[[#This Row],[GVA]]-D40</f>
        <v>32122.200000000012</v>
      </c>
      <c r="F41" s="3">
        <f>Poland_GVA[[#This Row],[GVA_NOTREND]]-_xlfn.XLOOKUP(Poland_GVA[[#This Row],[QUARTER]],Indicators[QUARTER],Indicators[CLEANED],0)</f>
        <v>-8503.8836827956839</v>
      </c>
    </row>
    <row r="42" spans="1:6" x14ac:dyDescent="0.2">
      <c r="A42" t="s">
        <v>41</v>
      </c>
      <c r="B42" s="2">
        <f t="shared" si="0"/>
        <v>2005</v>
      </c>
      <c r="C42" s="2">
        <f t="shared" si="1"/>
        <v>1</v>
      </c>
      <c r="D42" s="3">
        <v>206156.4</v>
      </c>
      <c r="E42" s="3">
        <f>Poland_GVA[[#This Row],[GVA]]-D41</f>
        <v>-28222.600000000006</v>
      </c>
      <c r="F42" s="3">
        <f>Poland_GVA[[#This Row],[GVA_NOTREND]]-_xlfn.XLOOKUP(Poland_GVA[[#This Row],[QUARTER]],Indicators[QUARTER],Indicators[CLEANED],0)</f>
        <v>20693.239650537624</v>
      </c>
    </row>
    <row r="43" spans="1:6" x14ac:dyDescent="0.2">
      <c r="A43" t="s">
        <v>42</v>
      </c>
      <c r="B43" s="2">
        <f t="shared" si="0"/>
        <v>2005</v>
      </c>
      <c r="C43" s="2">
        <f t="shared" si="1"/>
        <v>2</v>
      </c>
      <c r="D43" s="3">
        <v>213849.8</v>
      </c>
      <c r="E43" s="3">
        <f>Poland_GVA[[#This Row],[GVA]]-D42</f>
        <v>7693.3999999999942</v>
      </c>
      <c r="F43" s="3">
        <f>Poland_GVA[[#This Row],[GVA_NOTREND]]-_xlfn.XLOOKUP(Poland_GVA[[#This Row],[QUARTER]],Indicators[QUARTER],Indicators[CLEANED],0)</f>
        <v>3264.5877150537644</v>
      </c>
    </row>
    <row r="44" spans="1:6" x14ac:dyDescent="0.2">
      <c r="A44" t="s">
        <v>43</v>
      </c>
      <c r="B44" s="2">
        <f t="shared" si="0"/>
        <v>2005</v>
      </c>
      <c r="C44" s="2">
        <f t="shared" si="1"/>
        <v>3</v>
      </c>
      <c r="D44" s="3">
        <v>214178.1</v>
      </c>
      <c r="E44" s="3">
        <f>Poland_GVA[[#This Row],[GVA]]-D43</f>
        <v>328.30000000001746</v>
      </c>
      <c r="F44" s="3">
        <f>Poland_GVA[[#This Row],[GVA_NOTREND]]-_xlfn.XLOOKUP(Poland_GVA[[#This Row],[QUARTER]],Indicators[QUARTER],Indicators[CLEANED],0)</f>
        <v>-3532.6436827956832</v>
      </c>
    </row>
    <row r="45" spans="1:6" x14ac:dyDescent="0.2">
      <c r="A45" t="s">
        <v>44</v>
      </c>
      <c r="B45" s="2">
        <f t="shared" si="0"/>
        <v>2005</v>
      </c>
      <c r="C45" s="2">
        <f t="shared" si="1"/>
        <v>4</v>
      </c>
      <c r="D45" s="3">
        <v>239041.7</v>
      </c>
      <c r="E45" s="3">
        <f>Poland_GVA[[#This Row],[GVA]]-D44</f>
        <v>24863.600000000006</v>
      </c>
      <c r="F45" s="3">
        <f>Poland_GVA[[#This Row],[GVA_NOTREND]]-_xlfn.XLOOKUP(Poland_GVA[[#This Row],[QUARTER]],Indicators[QUARTER],Indicators[CLEANED],0)</f>
        <v>-15762.48368279569</v>
      </c>
    </row>
    <row r="46" spans="1:6" x14ac:dyDescent="0.2">
      <c r="A46" t="s">
        <v>45</v>
      </c>
      <c r="B46" s="2">
        <f t="shared" si="0"/>
        <v>2006</v>
      </c>
      <c r="C46" s="2">
        <f t="shared" si="1"/>
        <v>1</v>
      </c>
      <c r="D46" s="3">
        <v>219356.9</v>
      </c>
      <c r="E46" s="3">
        <f>Poland_GVA[[#This Row],[GVA]]-D45</f>
        <v>-19684.800000000017</v>
      </c>
      <c r="F46" s="3">
        <f>Poland_GVA[[#This Row],[GVA_NOTREND]]-_xlfn.XLOOKUP(Poland_GVA[[#This Row],[QUARTER]],Indicators[QUARTER],Indicators[CLEANED],0)</f>
        <v>29231.039650537612</v>
      </c>
    </row>
    <row r="47" spans="1:6" x14ac:dyDescent="0.2">
      <c r="A47" t="s">
        <v>46</v>
      </c>
      <c r="B47" s="2">
        <f t="shared" si="0"/>
        <v>2006</v>
      </c>
      <c r="C47" s="2">
        <f t="shared" si="1"/>
        <v>2</v>
      </c>
      <c r="D47" s="3">
        <v>226107.1</v>
      </c>
      <c r="E47" s="3">
        <f>Poland_GVA[[#This Row],[GVA]]-D46</f>
        <v>6750.2000000000116</v>
      </c>
      <c r="F47" s="3">
        <f>Poland_GVA[[#This Row],[GVA_NOTREND]]-_xlfn.XLOOKUP(Poland_GVA[[#This Row],[QUARTER]],Indicators[QUARTER],Indicators[CLEANED],0)</f>
        <v>2321.3877150537819</v>
      </c>
    </row>
    <row r="48" spans="1:6" x14ac:dyDescent="0.2">
      <c r="A48" t="s">
        <v>47</v>
      </c>
      <c r="B48" s="2">
        <f t="shared" si="0"/>
        <v>2006</v>
      </c>
      <c r="C48" s="2">
        <f t="shared" si="1"/>
        <v>3</v>
      </c>
      <c r="D48" s="3">
        <v>230218.1</v>
      </c>
      <c r="E48" s="3">
        <f>Poland_GVA[[#This Row],[GVA]]-D47</f>
        <v>4111</v>
      </c>
      <c r="F48" s="3">
        <f>Poland_GVA[[#This Row],[GVA_NOTREND]]-_xlfn.XLOOKUP(Poland_GVA[[#This Row],[QUARTER]],Indicators[QUARTER],Indicators[CLEANED],0)</f>
        <v>250.05631720429938</v>
      </c>
    </row>
    <row r="49" spans="1:6" x14ac:dyDescent="0.2">
      <c r="A49" t="s">
        <v>48</v>
      </c>
      <c r="B49" s="2">
        <f t="shared" si="0"/>
        <v>2006</v>
      </c>
      <c r="C49" s="2">
        <f t="shared" si="1"/>
        <v>4</v>
      </c>
      <c r="D49" s="3">
        <v>265540.3</v>
      </c>
      <c r="E49" s="3">
        <f>Poland_GVA[[#This Row],[GVA]]-D48</f>
        <v>35322.199999999983</v>
      </c>
      <c r="F49" s="3">
        <f>Poland_GVA[[#This Row],[GVA_NOTREND]]-_xlfn.XLOOKUP(Poland_GVA[[#This Row],[QUARTER]],Indicators[QUARTER],Indicators[CLEANED],0)</f>
        <v>-5303.883682795713</v>
      </c>
    </row>
    <row r="50" spans="1:6" x14ac:dyDescent="0.2">
      <c r="A50" t="s">
        <v>49</v>
      </c>
      <c r="B50" s="2">
        <f t="shared" si="0"/>
        <v>2007</v>
      </c>
      <c r="C50" s="2">
        <f t="shared" si="1"/>
        <v>1</v>
      </c>
      <c r="D50" s="3">
        <v>242848.3</v>
      </c>
      <c r="E50" s="3">
        <f>Poland_GVA[[#This Row],[GVA]]-D49</f>
        <v>-22692</v>
      </c>
      <c r="F50" s="3">
        <f>Poland_GVA[[#This Row],[GVA_NOTREND]]-_xlfn.XLOOKUP(Poland_GVA[[#This Row],[QUARTER]],Indicators[QUARTER],Indicators[CLEANED],0)</f>
        <v>26223.839650537629</v>
      </c>
    </row>
    <row r="51" spans="1:6" x14ac:dyDescent="0.2">
      <c r="A51" t="s">
        <v>50</v>
      </c>
      <c r="B51" s="2">
        <f t="shared" si="0"/>
        <v>2007</v>
      </c>
      <c r="C51" s="2">
        <f t="shared" si="1"/>
        <v>2</v>
      </c>
      <c r="D51" s="3">
        <v>249025</v>
      </c>
      <c r="E51" s="3">
        <f>Poland_GVA[[#This Row],[GVA]]-D50</f>
        <v>6176.7000000000116</v>
      </c>
      <c r="F51" s="3">
        <f>Poland_GVA[[#This Row],[GVA_NOTREND]]-_xlfn.XLOOKUP(Poland_GVA[[#This Row],[QUARTER]],Indicators[QUARTER],Indicators[CLEANED],0)</f>
        <v>1747.8877150537819</v>
      </c>
    </row>
    <row r="52" spans="1:6" x14ac:dyDescent="0.2">
      <c r="A52" t="s">
        <v>51</v>
      </c>
      <c r="B52" s="2">
        <f t="shared" si="0"/>
        <v>2007</v>
      </c>
      <c r="C52" s="2">
        <f t="shared" si="1"/>
        <v>3</v>
      </c>
      <c r="D52" s="3">
        <v>251557.2</v>
      </c>
      <c r="E52" s="3">
        <f>Poland_GVA[[#This Row],[GVA]]-D51</f>
        <v>2532.2000000000116</v>
      </c>
      <c r="F52" s="3">
        <f>Poland_GVA[[#This Row],[GVA_NOTREND]]-_xlfn.XLOOKUP(Poland_GVA[[#This Row],[QUARTER]],Indicators[QUARTER],Indicators[CLEANED],0)</f>
        <v>-1328.743682795689</v>
      </c>
    </row>
    <row r="53" spans="1:6" x14ac:dyDescent="0.2">
      <c r="A53" t="s">
        <v>52</v>
      </c>
      <c r="B53" s="2">
        <f t="shared" si="0"/>
        <v>2007</v>
      </c>
      <c r="C53" s="2">
        <f t="shared" si="1"/>
        <v>4</v>
      </c>
      <c r="D53" s="3">
        <v>294929.5</v>
      </c>
      <c r="E53" s="3">
        <f>Poland_GVA[[#This Row],[GVA]]-D52</f>
        <v>43372.299999999988</v>
      </c>
      <c r="F53" s="3">
        <f>Poland_GVA[[#This Row],[GVA_NOTREND]]-_xlfn.XLOOKUP(Poland_GVA[[#This Row],[QUARTER]],Indicators[QUARTER],Indicators[CLEANED],0)</f>
        <v>2746.2163172042929</v>
      </c>
    </row>
    <row r="54" spans="1:6" x14ac:dyDescent="0.2">
      <c r="A54" t="s">
        <v>53</v>
      </c>
      <c r="B54" s="2">
        <f t="shared" si="0"/>
        <v>2008</v>
      </c>
      <c r="C54" s="2">
        <f t="shared" si="1"/>
        <v>1</v>
      </c>
      <c r="D54" s="3">
        <v>266404.90000000002</v>
      </c>
      <c r="E54" s="3">
        <f>Poland_GVA[[#This Row],[GVA]]-D53</f>
        <v>-28524.599999999977</v>
      </c>
      <c r="F54" s="3">
        <f>Poland_GVA[[#This Row],[GVA_NOTREND]]-_xlfn.XLOOKUP(Poland_GVA[[#This Row],[QUARTER]],Indicators[QUARTER],Indicators[CLEANED],0)</f>
        <v>20391.239650537653</v>
      </c>
    </row>
    <row r="55" spans="1:6" x14ac:dyDescent="0.2">
      <c r="A55" t="s">
        <v>54</v>
      </c>
      <c r="B55" s="2">
        <f t="shared" si="0"/>
        <v>2008</v>
      </c>
      <c r="C55" s="2">
        <f t="shared" si="1"/>
        <v>2</v>
      </c>
      <c r="D55" s="3">
        <v>272572.09999999998</v>
      </c>
      <c r="E55" s="3">
        <f>Poland_GVA[[#This Row],[GVA]]-D54</f>
        <v>6167.1999999999534</v>
      </c>
      <c r="F55" s="3">
        <f>Poland_GVA[[#This Row],[GVA_NOTREND]]-_xlfn.XLOOKUP(Poland_GVA[[#This Row],[QUARTER]],Indicators[QUARTER],Indicators[CLEANED],0)</f>
        <v>1738.3877150537237</v>
      </c>
    </row>
    <row r="56" spans="1:6" x14ac:dyDescent="0.2">
      <c r="A56" t="s">
        <v>55</v>
      </c>
      <c r="B56" s="2">
        <f t="shared" si="0"/>
        <v>2008</v>
      </c>
      <c r="C56" s="2">
        <f t="shared" si="1"/>
        <v>3</v>
      </c>
      <c r="D56" s="3">
        <v>274052.3</v>
      </c>
      <c r="E56" s="3">
        <f>Poland_GVA[[#This Row],[GVA]]-D55</f>
        <v>1480.2000000000116</v>
      </c>
      <c r="F56" s="3">
        <f>Poland_GVA[[#This Row],[GVA_NOTREND]]-_xlfn.XLOOKUP(Poland_GVA[[#This Row],[QUARTER]],Indicators[QUARTER],Indicators[CLEANED],0)</f>
        <v>-2380.743682795689</v>
      </c>
    </row>
    <row r="57" spans="1:6" x14ac:dyDescent="0.2">
      <c r="A57" t="s">
        <v>56</v>
      </c>
      <c r="B57" s="2">
        <f t="shared" si="0"/>
        <v>2008</v>
      </c>
      <c r="C57" s="2">
        <f t="shared" si="1"/>
        <v>4</v>
      </c>
      <c r="D57" s="3">
        <v>313371.59999999998</v>
      </c>
      <c r="E57" s="3">
        <f>Poland_GVA[[#This Row],[GVA]]-D56</f>
        <v>39319.299999999988</v>
      </c>
      <c r="F57" s="3">
        <f>Poland_GVA[[#This Row],[GVA_NOTREND]]-_xlfn.XLOOKUP(Poland_GVA[[#This Row],[QUARTER]],Indicators[QUARTER],Indicators[CLEANED],0)</f>
        <v>-1306.7836827957071</v>
      </c>
    </row>
    <row r="58" spans="1:6" x14ac:dyDescent="0.2">
      <c r="A58" t="s">
        <v>57</v>
      </c>
      <c r="B58" s="2">
        <f t="shared" si="0"/>
        <v>2009</v>
      </c>
      <c r="C58" s="2">
        <f t="shared" si="1"/>
        <v>1</v>
      </c>
      <c r="D58" s="3">
        <v>291329.2</v>
      </c>
      <c r="E58" s="3">
        <f>Poland_GVA[[#This Row],[GVA]]-D57</f>
        <v>-22042.399999999965</v>
      </c>
      <c r="F58" s="3">
        <f>Poland_GVA[[#This Row],[GVA_NOTREND]]-_xlfn.XLOOKUP(Poland_GVA[[#This Row],[QUARTER]],Indicators[QUARTER],Indicators[CLEANED],0)</f>
        <v>26873.439650537664</v>
      </c>
    </row>
    <row r="59" spans="1:6" x14ac:dyDescent="0.2">
      <c r="A59" t="s">
        <v>58</v>
      </c>
      <c r="B59" s="2">
        <f t="shared" si="0"/>
        <v>2009</v>
      </c>
      <c r="C59" s="2">
        <f t="shared" si="1"/>
        <v>2</v>
      </c>
      <c r="D59" s="3">
        <v>292509.40000000002</v>
      </c>
      <c r="E59" s="3">
        <f>Poland_GVA[[#This Row],[GVA]]-D58</f>
        <v>1180.2000000000116</v>
      </c>
      <c r="F59" s="3">
        <f>Poland_GVA[[#This Row],[GVA_NOTREND]]-_xlfn.XLOOKUP(Poland_GVA[[#This Row],[QUARTER]],Indicators[QUARTER],Indicators[CLEANED],0)</f>
        <v>-3248.6122849462181</v>
      </c>
    </row>
    <row r="60" spans="1:6" x14ac:dyDescent="0.2">
      <c r="A60" t="s">
        <v>59</v>
      </c>
      <c r="B60" s="2">
        <f t="shared" si="0"/>
        <v>2009</v>
      </c>
      <c r="C60" s="2">
        <f t="shared" si="1"/>
        <v>3</v>
      </c>
      <c r="D60" s="3">
        <v>295294</v>
      </c>
      <c r="E60" s="3">
        <f>Poland_GVA[[#This Row],[GVA]]-D59</f>
        <v>2784.5999999999767</v>
      </c>
      <c r="F60" s="3">
        <f>Poland_GVA[[#This Row],[GVA_NOTREND]]-_xlfn.XLOOKUP(Poland_GVA[[#This Row],[QUARTER]],Indicators[QUARTER],Indicators[CLEANED],0)</f>
        <v>-1076.3436827957239</v>
      </c>
    </row>
    <row r="61" spans="1:6" x14ac:dyDescent="0.2">
      <c r="A61" t="s">
        <v>60</v>
      </c>
      <c r="B61" s="2">
        <f t="shared" si="0"/>
        <v>2009</v>
      </c>
      <c r="C61" s="2">
        <f t="shared" si="1"/>
        <v>4</v>
      </c>
      <c r="D61" s="3">
        <v>342328.8</v>
      </c>
      <c r="E61" s="3">
        <f>Poland_GVA[[#This Row],[GVA]]-D60</f>
        <v>47034.799999999988</v>
      </c>
      <c r="F61" s="3">
        <f>Poland_GVA[[#This Row],[GVA_NOTREND]]-_xlfn.XLOOKUP(Poland_GVA[[#This Row],[QUARTER]],Indicators[QUARTER],Indicators[CLEANED],0)</f>
        <v>6408.7163172042929</v>
      </c>
    </row>
    <row r="62" spans="1:6" x14ac:dyDescent="0.2">
      <c r="A62" t="s">
        <v>61</v>
      </c>
      <c r="B62" s="2">
        <f t="shared" si="0"/>
        <v>2010</v>
      </c>
      <c r="C62" s="2">
        <f t="shared" si="1"/>
        <v>1</v>
      </c>
      <c r="D62" s="3">
        <v>293532.09999999998</v>
      </c>
      <c r="E62" s="3">
        <f>Poland_GVA[[#This Row],[GVA]]-D61</f>
        <v>-48796.700000000012</v>
      </c>
      <c r="F62" s="3">
        <f>Poland_GVA[[#This Row],[GVA_NOTREND]]-_xlfn.XLOOKUP(Poland_GVA[[#This Row],[QUARTER]],Indicators[QUARTER],Indicators[CLEANED],0)</f>
        <v>119.13965053761785</v>
      </c>
    </row>
    <row r="63" spans="1:6" x14ac:dyDescent="0.2">
      <c r="A63" t="s">
        <v>62</v>
      </c>
      <c r="B63" s="2">
        <f t="shared" si="0"/>
        <v>2010</v>
      </c>
      <c r="C63" s="2">
        <f t="shared" si="1"/>
        <v>2</v>
      </c>
      <c r="D63" s="3">
        <v>306180.5</v>
      </c>
      <c r="E63" s="3">
        <f>Poland_GVA[[#This Row],[GVA]]-D62</f>
        <v>12648.400000000023</v>
      </c>
      <c r="F63" s="3">
        <f>Poland_GVA[[#This Row],[GVA_NOTREND]]-_xlfn.XLOOKUP(Poland_GVA[[#This Row],[QUARTER]],Indicators[QUARTER],Indicators[CLEANED],0)</f>
        <v>8219.5877150537926</v>
      </c>
    </row>
    <row r="64" spans="1:6" x14ac:dyDescent="0.2">
      <c r="A64" t="s">
        <v>63</v>
      </c>
      <c r="B64" s="2">
        <f t="shared" si="0"/>
        <v>2010</v>
      </c>
      <c r="C64" s="2">
        <f t="shared" si="1"/>
        <v>3</v>
      </c>
      <c r="D64" s="3">
        <v>310619.90000000002</v>
      </c>
      <c r="E64" s="3">
        <f>Poland_GVA[[#This Row],[GVA]]-D63</f>
        <v>4439.4000000000233</v>
      </c>
      <c r="F64" s="3">
        <f>Poland_GVA[[#This Row],[GVA_NOTREND]]-_xlfn.XLOOKUP(Poland_GVA[[#This Row],[QUARTER]],Indicators[QUARTER],Indicators[CLEANED],0)</f>
        <v>578.45631720432266</v>
      </c>
    </row>
    <row r="65" spans="1:6" x14ac:dyDescent="0.2">
      <c r="A65" t="s">
        <v>64</v>
      </c>
      <c r="B65" s="2">
        <f t="shared" si="0"/>
        <v>2010</v>
      </c>
      <c r="C65" s="2">
        <f t="shared" si="1"/>
        <v>4</v>
      </c>
      <c r="D65" s="3">
        <v>357495.4</v>
      </c>
      <c r="E65" s="3">
        <f>Poland_GVA[[#This Row],[GVA]]-D64</f>
        <v>46875.5</v>
      </c>
      <c r="F65" s="3">
        <f>Poland_GVA[[#This Row],[GVA_NOTREND]]-_xlfn.XLOOKUP(Poland_GVA[[#This Row],[QUARTER]],Indicators[QUARTER],Indicators[CLEANED],0)</f>
        <v>6249.4163172043045</v>
      </c>
    </row>
    <row r="66" spans="1:6" x14ac:dyDescent="0.2">
      <c r="A66" t="s">
        <v>65</v>
      </c>
      <c r="B66" s="2">
        <f t="shared" si="0"/>
        <v>2011</v>
      </c>
      <c r="C66" s="2">
        <f t="shared" si="1"/>
        <v>1</v>
      </c>
      <c r="D66" s="3">
        <v>317049.90000000002</v>
      </c>
      <c r="E66" s="3">
        <f>Poland_GVA[[#This Row],[GVA]]-D65</f>
        <v>-40445.5</v>
      </c>
      <c r="F66" s="3">
        <f>Poland_GVA[[#This Row],[GVA_NOTREND]]-_xlfn.XLOOKUP(Poland_GVA[[#This Row],[QUARTER]],Indicators[QUARTER],Indicators[CLEANED],0)</f>
        <v>8470.3396505376295</v>
      </c>
    </row>
    <row r="67" spans="1:6" x14ac:dyDescent="0.2">
      <c r="A67" t="s">
        <v>66</v>
      </c>
      <c r="B67" s="2">
        <f t="shared" si="0"/>
        <v>2011</v>
      </c>
      <c r="C67" s="2">
        <f t="shared" si="1"/>
        <v>2</v>
      </c>
      <c r="D67" s="3">
        <v>329722.2</v>
      </c>
      <c r="E67" s="3">
        <f>Poland_GVA[[#This Row],[GVA]]-D66</f>
        <v>12672.299999999988</v>
      </c>
      <c r="F67" s="3">
        <f>Poland_GVA[[#This Row],[GVA_NOTREND]]-_xlfn.XLOOKUP(Poland_GVA[[#This Row],[QUARTER]],Indicators[QUARTER],Indicators[CLEANED],0)</f>
        <v>8243.4877150537577</v>
      </c>
    </row>
    <row r="68" spans="1:6" x14ac:dyDescent="0.2">
      <c r="A68" t="s">
        <v>67</v>
      </c>
      <c r="B68" s="2">
        <f t="shared" si="0"/>
        <v>2011</v>
      </c>
      <c r="C68" s="2">
        <f t="shared" si="1"/>
        <v>3</v>
      </c>
      <c r="D68" s="3">
        <v>336299.9</v>
      </c>
      <c r="E68" s="3">
        <f>Poland_GVA[[#This Row],[GVA]]-D67</f>
        <v>6577.7000000000116</v>
      </c>
      <c r="F68" s="3">
        <f>Poland_GVA[[#This Row],[GVA_NOTREND]]-_xlfn.XLOOKUP(Poland_GVA[[#This Row],[QUARTER]],Indicators[QUARTER],Indicators[CLEANED],0)</f>
        <v>2716.756317204311</v>
      </c>
    </row>
    <row r="69" spans="1:6" x14ac:dyDescent="0.2">
      <c r="A69" t="s">
        <v>68</v>
      </c>
      <c r="B69" s="2">
        <f t="shared" si="0"/>
        <v>2011</v>
      </c>
      <c r="C69" s="2">
        <f t="shared" si="1"/>
        <v>4</v>
      </c>
      <c r="D69" s="3">
        <v>391006.1</v>
      </c>
      <c r="E69" s="3">
        <f>Poland_GVA[[#This Row],[GVA]]-D68</f>
        <v>54706.199999999953</v>
      </c>
      <c r="F69" s="3">
        <f>Poland_GVA[[#This Row],[GVA_NOTREND]]-_xlfn.XLOOKUP(Poland_GVA[[#This Row],[QUARTER]],Indicators[QUARTER],Indicators[CLEANED],0)</f>
        <v>14080.116317204258</v>
      </c>
    </row>
    <row r="70" spans="1:6" x14ac:dyDescent="0.2">
      <c r="A70" t="s">
        <v>69</v>
      </c>
      <c r="B70" s="2">
        <f t="shared" si="0"/>
        <v>2012</v>
      </c>
      <c r="C70" s="2">
        <f t="shared" si="1"/>
        <v>1</v>
      </c>
      <c r="D70" s="3">
        <v>336547.1</v>
      </c>
      <c r="E70" s="3">
        <f>Poland_GVA[[#This Row],[GVA]]-D69</f>
        <v>-54459</v>
      </c>
      <c r="F70" s="3">
        <f>Poland_GVA[[#This Row],[GVA_NOTREND]]-_xlfn.XLOOKUP(Poland_GVA[[#This Row],[QUARTER]],Indicators[QUARTER],Indicators[CLEANED],0)</f>
        <v>-5543.1603494623705</v>
      </c>
    </row>
    <row r="71" spans="1:6" x14ac:dyDescent="0.2">
      <c r="A71" t="s">
        <v>70</v>
      </c>
      <c r="B71" s="2">
        <f t="shared" ref="B71:B123" si="2">B67+1</f>
        <v>2012</v>
      </c>
      <c r="C71" s="2">
        <f t="shared" ref="C71:C123" si="3">C67</f>
        <v>2</v>
      </c>
      <c r="D71" s="3">
        <v>351206.9</v>
      </c>
      <c r="E71" s="3">
        <f>Poland_GVA[[#This Row],[GVA]]-D70</f>
        <v>14659.800000000047</v>
      </c>
      <c r="F71" s="3">
        <f>Poland_GVA[[#This Row],[GVA_NOTREND]]-_xlfn.XLOOKUP(Poland_GVA[[#This Row],[QUARTER]],Indicators[QUARTER],Indicators[CLEANED],0)</f>
        <v>10230.987715053816</v>
      </c>
    </row>
    <row r="72" spans="1:6" x14ac:dyDescent="0.2">
      <c r="A72" t="s">
        <v>71</v>
      </c>
      <c r="B72" s="2">
        <f t="shared" si="2"/>
        <v>2012</v>
      </c>
      <c r="C72" s="2">
        <f t="shared" si="3"/>
        <v>3</v>
      </c>
      <c r="D72" s="3">
        <v>352593.5</v>
      </c>
      <c r="E72" s="3">
        <f>Poland_GVA[[#This Row],[GVA]]-D71</f>
        <v>1386.5999999999767</v>
      </c>
      <c r="F72" s="3">
        <f>Poland_GVA[[#This Row],[GVA_NOTREND]]-_xlfn.XLOOKUP(Poland_GVA[[#This Row],[QUARTER]],Indicators[QUARTER],Indicators[CLEANED],0)</f>
        <v>-2474.3436827957239</v>
      </c>
    </row>
    <row r="73" spans="1:6" x14ac:dyDescent="0.2">
      <c r="A73" t="s">
        <v>72</v>
      </c>
      <c r="B73" s="2">
        <f t="shared" si="2"/>
        <v>2012</v>
      </c>
      <c r="C73" s="2">
        <f t="shared" si="3"/>
        <v>4</v>
      </c>
      <c r="D73" s="3">
        <v>396126.2</v>
      </c>
      <c r="E73" s="3">
        <f>Poland_GVA[[#This Row],[GVA]]-D72</f>
        <v>43532.700000000012</v>
      </c>
      <c r="F73" s="3">
        <f>Poland_GVA[[#This Row],[GVA_NOTREND]]-_xlfn.XLOOKUP(Poland_GVA[[#This Row],[QUARTER]],Indicators[QUARTER],Indicators[CLEANED],0)</f>
        <v>2906.6163172043161</v>
      </c>
    </row>
    <row r="74" spans="1:6" x14ac:dyDescent="0.2">
      <c r="A74" t="s">
        <v>73</v>
      </c>
      <c r="B74" s="2">
        <f t="shared" si="2"/>
        <v>2013</v>
      </c>
      <c r="C74" s="2">
        <f t="shared" si="3"/>
        <v>1</v>
      </c>
      <c r="D74" s="3">
        <v>339294.3</v>
      </c>
      <c r="E74" s="3">
        <f>Poland_GVA[[#This Row],[GVA]]-D73</f>
        <v>-56831.900000000023</v>
      </c>
      <c r="F74" s="3">
        <f>Poland_GVA[[#This Row],[GVA_NOTREND]]-_xlfn.XLOOKUP(Poland_GVA[[#This Row],[QUARTER]],Indicators[QUARTER],Indicators[CLEANED],0)</f>
        <v>-7916.0603494623938</v>
      </c>
    </row>
    <row r="75" spans="1:6" x14ac:dyDescent="0.2">
      <c r="A75" t="s">
        <v>74</v>
      </c>
      <c r="B75" s="2">
        <f t="shared" si="2"/>
        <v>2013</v>
      </c>
      <c r="C75" s="2">
        <f t="shared" si="3"/>
        <v>2</v>
      </c>
      <c r="D75" s="3">
        <v>351319.9</v>
      </c>
      <c r="E75" s="3">
        <f>Poland_GVA[[#This Row],[GVA]]-D74</f>
        <v>12025.600000000035</v>
      </c>
      <c r="F75" s="3">
        <f>Poland_GVA[[#This Row],[GVA_NOTREND]]-_xlfn.XLOOKUP(Poland_GVA[[#This Row],[QUARTER]],Indicators[QUARTER],Indicators[CLEANED],0)</f>
        <v>7596.7877150538052</v>
      </c>
    </row>
    <row r="76" spans="1:6" x14ac:dyDescent="0.2">
      <c r="A76" t="s">
        <v>75</v>
      </c>
      <c r="B76" s="2">
        <f t="shared" si="2"/>
        <v>2013</v>
      </c>
      <c r="C76" s="2">
        <f t="shared" si="3"/>
        <v>3</v>
      </c>
      <c r="D76" s="3">
        <v>353491.8</v>
      </c>
      <c r="E76" s="3">
        <f>Poland_GVA[[#This Row],[GVA]]-D75</f>
        <v>2171.8999999999651</v>
      </c>
      <c r="F76" s="3">
        <f>Poland_GVA[[#This Row],[GVA_NOTREND]]-_xlfn.XLOOKUP(Poland_GVA[[#This Row],[QUARTER]],Indicators[QUARTER],Indicators[CLEANED],0)</f>
        <v>-1689.0436827957355</v>
      </c>
    </row>
    <row r="77" spans="1:6" x14ac:dyDescent="0.2">
      <c r="A77" t="s">
        <v>76</v>
      </c>
      <c r="B77" s="2">
        <f t="shared" si="2"/>
        <v>2013</v>
      </c>
      <c r="C77" s="2">
        <f t="shared" si="3"/>
        <v>4</v>
      </c>
      <c r="D77" s="3">
        <v>407683.5</v>
      </c>
      <c r="E77" s="3">
        <f>Poland_GVA[[#This Row],[GVA]]-D76</f>
        <v>54191.700000000012</v>
      </c>
      <c r="F77" s="3">
        <f>Poland_GVA[[#This Row],[GVA_NOTREND]]-_xlfn.XLOOKUP(Poland_GVA[[#This Row],[QUARTER]],Indicators[QUARTER],Indicators[CLEANED],0)</f>
        <v>13565.616317204316</v>
      </c>
    </row>
    <row r="78" spans="1:6" x14ac:dyDescent="0.2">
      <c r="A78" t="s">
        <v>77</v>
      </c>
      <c r="B78" s="2">
        <f t="shared" si="2"/>
        <v>2014</v>
      </c>
      <c r="C78" s="2">
        <f t="shared" si="3"/>
        <v>1</v>
      </c>
      <c r="D78" s="3">
        <v>353386.1</v>
      </c>
      <c r="E78" s="3">
        <f>Poland_GVA[[#This Row],[GVA]]-D77</f>
        <v>-54297.400000000023</v>
      </c>
      <c r="F78" s="3">
        <f>Poland_GVA[[#This Row],[GVA_NOTREND]]-_xlfn.XLOOKUP(Poland_GVA[[#This Row],[QUARTER]],Indicators[QUARTER],Indicators[CLEANED],0)</f>
        <v>-5381.5603494623938</v>
      </c>
    </row>
    <row r="79" spans="1:6" x14ac:dyDescent="0.2">
      <c r="A79" t="s">
        <v>78</v>
      </c>
      <c r="B79" s="2">
        <f t="shared" si="2"/>
        <v>2014</v>
      </c>
      <c r="C79" s="2">
        <f t="shared" si="3"/>
        <v>2</v>
      </c>
      <c r="D79" s="3">
        <v>366725</v>
      </c>
      <c r="E79" s="3">
        <f>Poland_GVA[[#This Row],[GVA]]-D78</f>
        <v>13338.900000000023</v>
      </c>
      <c r="F79" s="3">
        <f>Poland_GVA[[#This Row],[GVA_NOTREND]]-_xlfn.XLOOKUP(Poland_GVA[[#This Row],[QUARTER]],Indicators[QUARTER],Indicators[CLEANED],0)</f>
        <v>8910.0877150537926</v>
      </c>
    </row>
    <row r="80" spans="1:6" x14ac:dyDescent="0.2">
      <c r="A80" t="s">
        <v>79</v>
      </c>
      <c r="B80" s="2">
        <f t="shared" si="2"/>
        <v>2014</v>
      </c>
      <c r="C80" s="2">
        <f t="shared" si="3"/>
        <v>3</v>
      </c>
      <c r="D80" s="3">
        <v>373465.9</v>
      </c>
      <c r="E80" s="3">
        <f>Poland_GVA[[#This Row],[GVA]]-D79</f>
        <v>6740.9000000000233</v>
      </c>
      <c r="F80" s="3">
        <f>Poland_GVA[[#This Row],[GVA_NOTREND]]-_xlfn.XLOOKUP(Poland_GVA[[#This Row],[QUARTER]],Indicators[QUARTER],Indicators[CLEANED],0)</f>
        <v>2879.9563172043227</v>
      </c>
    </row>
    <row r="81" spans="1:6" x14ac:dyDescent="0.2">
      <c r="A81" t="s">
        <v>80</v>
      </c>
      <c r="B81" s="2">
        <f t="shared" si="2"/>
        <v>2014</v>
      </c>
      <c r="C81" s="2">
        <f t="shared" si="3"/>
        <v>4</v>
      </c>
      <c r="D81" s="3">
        <v>421844.4</v>
      </c>
      <c r="E81" s="3">
        <f>Poland_GVA[[#This Row],[GVA]]-D80</f>
        <v>48378.5</v>
      </c>
      <c r="F81" s="3">
        <f>Poland_GVA[[#This Row],[GVA_NOTREND]]-_xlfn.XLOOKUP(Poland_GVA[[#This Row],[QUARTER]],Indicators[QUARTER],Indicators[CLEANED],0)</f>
        <v>7752.4163172043045</v>
      </c>
    </row>
    <row r="82" spans="1:6" x14ac:dyDescent="0.2">
      <c r="A82" t="s">
        <v>81</v>
      </c>
      <c r="B82" s="2">
        <f t="shared" si="2"/>
        <v>2015</v>
      </c>
      <c r="C82" s="2">
        <f t="shared" si="3"/>
        <v>1</v>
      </c>
      <c r="D82" s="3">
        <v>371802.8</v>
      </c>
      <c r="E82" s="3">
        <f>Poland_GVA[[#This Row],[GVA]]-D81</f>
        <v>-50041.600000000035</v>
      </c>
      <c r="F82" s="3">
        <f>Poland_GVA[[#This Row],[GVA_NOTREND]]-_xlfn.XLOOKUP(Poland_GVA[[#This Row],[QUARTER]],Indicators[QUARTER],Indicators[CLEANED],0)</f>
        <v>-1125.7603494624054</v>
      </c>
    </row>
    <row r="83" spans="1:6" x14ac:dyDescent="0.2">
      <c r="A83" t="s">
        <v>82</v>
      </c>
      <c r="B83" s="2">
        <f t="shared" si="2"/>
        <v>2015</v>
      </c>
      <c r="C83" s="2">
        <f t="shared" si="3"/>
        <v>2</v>
      </c>
      <c r="D83" s="3">
        <v>386531.9</v>
      </c>
      <c r="E83" s="3">
        <f>Poland_GVA[[#This Row],[GVA]]-D82</f>
        <v>14729.100000000035</v>
      </c>
      <c r="F83" s="3">
        <f>Poland_GVA[[#This Row],[GVA_NOTREND]]-_xlfn.XLOOKUP(Poland_GVA[[#This Row],[QUARTER]],Indicators[QUARTER],Indicators[CLEANED],0)</f>
        <v>10300.287715053804</v>
      </c>
    </row>
    <row r="84" spans="1:6" x14ac:dyDescent="0.2">
      <c r="A84" t="s">
        <v>83</v>
      </c>
      <c r="B84" s="2">
        <f t="shared" si="2"/>
        <v>2015</v>
      </c>
      <c r="C84" s="2">
        <f t="shared" si="3"/>
        <v>3</v>
      </c>
      <c r="D84" s="3">
        <v>391631.1</v>
      </c>
      <c r="E84" s="3">
        <f>Poland_GVA[[#This Row],[GVA]]-D83</f>
        <v>5099.1999999999534</v>
      </c>
      <c r="F84" s="3">
        <f>Poland_GVA[[#This Row],[GVA_NOTREND]]-_xlfn.XLOOKUP(Poland_GVA[[#This Row],[QUARTER]],Indicators[QUARTER],Indicators[CLEANED],0)</f>
        <v>1238.2563172042528</v>
      </c>
    </row>
    <row r="85" spans="1:6" x14ac:dyDescent="0.2">
      <c r="A85" t="s">
        <v>84</v>
      </c>
      <c r="B85" s="2">
        <f t="shared" si="2"/>
        <v>2015</v>
      </c>
      <c r="C85" s="2">
        <f t="shared" si="3"/>
        <v>4</v>
      </c>
      <c r="D85" s="3">
        <v>456514.4</v>
      </c>
      <c r="E85" s="3">
        <f>Poland_GVA[[#This Row],[GVA]]-D84</f>
        <v>64883.300000000047</v>
      </c>
      <c r="F85" s="3">
        <f>Poland_GVA[[#This Row],[GVA_NOTREND]]-_xlfn.XLOOKUP(Poland_GVA[[#This Row],[QUARTER]],Indicators[QUARTER],Indicators[CLEANED],0)</f>
        <v>24257.216317204351</v>
      </c>
    </row>
    <row r="86" spans="1:6" x14ac:dyDescent="0.2">
      <c r="A86" t="s">
        <v>85</v>
      </c>
      <c r="B86" s="2">
        <f t="shared" si="2"/>
        <v>2016</v>
      </c>
      <c r="C86" s="2">
        <f t="shared" si="3"/>
        <v>1</v>
      </c>
      <c r="D86" s="3">
        <v>387565.7</v>
      </c>
      <c r="E86" s="3">
        <f>Poland_GVA[[#This Row],[GVA]]-D85</f>
        <v>-68948.700000000012</v>
      </c>
      <c r="F86" s="3">
        <f>Poland_GVA[[#This Row],[GVA_NOTREND]]-_xlfn.XLOOKUP(Poland_GVA[[#This Row],[QUARTER]],Indicators[QUARTER],Indicators[CLEANED],0)</f>
        <v>-20032.860349462382</v>
      </c>
    </row>
    <row r="87" spans="1:6" x14ac:dyDescent="0.2">
      <c r="A87" t="s">
        <v>86</v>
      </c>
      <c r="B87" s="2">
        <f t="shared" si="2"/>
        <v>2016</v>
      </c>
      <c r="C87" s="2">
        <f t="shared" si="3"/>
        <v>2</v>
      </c>
      <c r="D87" s="3">
        <v>397645.3</v>
      </c>
      <c r="E87" s="3">
        <f>Poland_GVA[[#This Row],[GVA]]-D86</f>
        <v>10079.599999999977</v>
      </c>
      <c r="F87" s="3">
        <f>Poland_GVA[[#This Row],[GVA_NOTREND]]-_xlfn.XLOOKUP(Poland_GVA[[#This Row],[QUARTER]],Indicators[QUARTER],Indicators[CLEANED],0)</f>
        <v>5650.787715053747</v>
      </c>
    </row>
    <row r="88" spans="1:6" x14ac:dyDescent="0.2">
      <c r="A88" t="s">
        <v>87</v>
      </c>
      <c r="B88" s="2">
        <f t="shared" si="2"/>
        <v>2016</v>
      </c>
      <c r="C88" s="2">
        <f t="shared" si="3"/>
        <v>3</v>
      </c>
      <c r="D88" s="3">
        <v>400700.8</v>
      </c>
      <c r="E88" s="3">
        <f>Poland_GVA[[#This Row],[GVA]]-D87</f>
        <v>3055.5</v>
      </c>
      <c r="F88" s="3">
        <f>Poland_GVA[[#This Row],[GVA_NOTREND]]-_xlfn.XLOOKUP(Poland_GVA[[#This Row],[QUARTER]],Indicators[QUARTER],Indicators[CLEANED],0)</f>
        <v>-805.44368279570062</v>
      </c>
    </row>
    <row r="89" spans="1:6" x14ac:dyDescent="0.2">
      <c r="A89" t="s">
        <v>88</v>
      </c>
      <c r="B89" s="2">
        <f t="shared" si="2"/>
        <v>2016</v>
      </c>
      <c r="C89" s="2">
        <f t="shared" si="3"/>
        <v>4</v>
      </c>
      <c r="D89" s="3">
        <v>462848.6</v>
      </c>
      <c r="E89" s="3">
        <f>Poland_GVA[[#This Row],[GVA]]-D88</f>
        <v>62147.799999999988</v>
      </c>
      <c r="F89" s="3">
        <f>Poland_GVA[[#This Row],[GVA_NOTREND]]-_xlfn.XLOOKUP(Poland_GVA[[#This Row],[QUARTER]],Indicators[QUARTER],Indicators[CLEANED],0)</f>
        <v>21521.716317204293</v>
      </c>
    </row>
    <row r="90" spans="1:6" x14ac:dyDescent="0.2">
      <c r="A90" t="s">
        <v>89</v>
      </c>
      <c r="B90" s="2">
        <f t="shared" si="2"/>
        <v>2017</v>
      </c>
      <c r="C90" s="2">
        <f t="shared" si="3"/>
        <v>1</v>
      </c>
      <c r="D90" s="3">
        <v>411240.3</v>
      </c>
      <c r="E90" s="3">
        <f>Poland_GVA[[#This Row],[GVA]]-D89</f>
        <v>-51608.299999999988</v>
      </c>
      <c r="F90" s="3">
        <f>Poland_GVA[[#This Row],[GVA_NOTREND]]-_xlfn.XLOOKUP(Poland_GVA[[#This Row],[QUARTER]],Indicators[QUARTER],Indicators[CLEANED],0)</f>
        <v>-2692.4603494623589</v>
      </c>
    </row>
    <row r="91" spans="1:6" x14ac:dyDescent="0.2">
      <c r="A91" t="s">
        <v>90</v>
      </c>
      <c r="B91" s="2">
        <f t="shared" si="2"/>
        <v>2017</v>
      </c>
      <c r="C91" s="2">
        <f t="shared" si="3"/>
        <v>2</v>
      </c>
      <c r="D91" s="3">
        <v>421998</v>
      </c>
      <c r="E91" s="3">
        <f>Poland_GVA[[#This Row],[GVA]]-D90</f>
        <v>10757.700000000012</v>
      </c>
      <c r="F91" s="3">
        <f>Poland_GVA[[#This Row],[GVA_NOTREND]]-_xlfn.XLOOKUP(Poland_GVA[[#This Row],[QUARTER]],Indicators[QUARTER],Indicators[CLEANED],0)</f>
        <v>6328.8877150537819</v>
      </c>
    </row>
    <row r="92" spans="1:6" x14ac:dyDescent="0.2">
      <c r="A92" t="s">
        <v>91</v>
      </c>
      <c r="B92" s="2">
        <f t="shared" si="2"/>
        <v>2017</v>
      </c>
      <c r="C92" s="2">
        <f t="shared" si="3"/>
        <v>3</v>
      </c>
      <c r="D92" s="3">
        <v>430320.3</v>
      </c>
      <c r="E92" s="3">
        <f>Poland_GVA[[#This Row],[GVA]]-D91</f>
        <v>8322.2999999999884</v>
      </c>
      <c r="F92" s="3">
        <f>Poland_GVA[[#This Row],[GVA_NOTREND]]-_xlfn.XLOOKUP(Poland_GVA[[#This Row],[QUARTER]],Indicators[QUARTER],Indicators[CLEANED],0)</f>
        <v>4461.3563172042877</v>
      </c>
    </row>
    <row r="93" spans="1:6" x14ac:dyDescent="0.2">
      <c r="A93" t="s">
        <v>92</v>
      </c>
      <c r="B93" s="2">
        <f t="shared" si="2"/>
        <v>2017</v>
      </c>
      <c r="C93" s="2">
        <f t="shared" si="3"/>
        <v>4</v>
      </c>
      <c r="D93" s="3">
        <v>490967.8</v>
      </c>
      <c r="E93" s="3">
        <f>Poland_GVA[[#This Row],[GVA]]-D92</f>
        <v>60647.5</v>
      </c>
      <c r="F93" s="3">
        <f>Poland_GVA[[#This Row],[GVA_NOTREND]]-_xlfn.XLOOKUP(Poland_GVA[[#This Row],[QUARTER]],Indicators[QUARTER],Indicators[CLEANED],0)</f>
        <v>20021.416317204305</v>
      </c>
    </row>
    <row r="94" spans="1:6" x14ac:dyDescent="0.2">
      <c r="A94" t="s">
        <v>93</v>
      </c>
      <c r="B94" s="2">
        <f t="shared" si="2"/>
        <v>2018</v>
      </c>
      <c r="C94" s="2">
        <f t="shared" si="3"/>
        <v>1</v>
      </c>
      <c r="D94" s="3">
        <v>439707.9</v>
      </c>
      <c r="E94" s="3">
        <f>Poland_GVA[[#This Row],[GVA]]-D93</f>
        <v>-51259.899999999965</v>
      </c>
      <c r="F94" s="3">
        <f>Poland_GVA[[#This Row],[GVA_NOTREND]]-_xlfn.XLOOKUP(Poland_GVA[[#This Row],[QUARTER]],Indicators[QUARTER],Indicators[CLEANED],0)</f>
        <v>-2344.0603494623356</v>
      </c>
    </row>
    <row r="95" spans="1:6" x14ac:dyDescent="0.2">
      <c r="A95" t="s">
        <v>94</v>
      </c>
      <c r="B95" s="2">
        <f t="shared" si="2"/>
        <v>2018</v>
      </c>
      <c r="C95" s="2">
        <f t="shared" si="3"/>
        <v>2</v>
      </c>
      <c r="D95" s="3">
        <v>452196.1</v>
      </c>
      <c r="E95" s="3">
        <f>Poland_GVA[[#This Row],[GVA]]-D94</f>
        <v>12488.199999999953</v>
      </c>
      <c r="F95" s="3">
        <f>Poland_GVA[[#This Row],[GVA_NOTREND]]-_xlfn.XLOOKUP(Poland_GVA[[#This Row],[QUARTER]],Indicators[QUARTER],Indicators[CLEANED],0)</f>
        <v>8059.3877150537237</v>
      </c>
    </row>
    <row r="96" spans="1:6" x14ac:dyDescent="0.2">
      <c r="A96" t="s">
        <v>95</v>
      </c>
      <c r="B96" s="2">
        <f t="shared" si="2"/>
        <v>2018</v>
      </c>
      <c r="C96" s="2">
        <f t="shared" si="3"/>
        <v>3</v>
      </c>
      <c r="D96" s="3">
        <v>464846.4</v>
      </c>
      <c r="E96" s="3">
        <f>Poland_GVA[[#This Row],[GVA]]-D95</f>
        <v>12650.300000000047</v>
      </c>
      <c r="F96" s="3">
        <f>Poland_GVA[[#This Row],[GVA_NOTREND]]-_xlfn.XLOOKUP(Poland_GVA[[#This Row],[QUARTER]],Indicators[QUARTER],Indicators[CLEANED],0)</f>
        <v>8789.3563172043469</v>
      </c>
    </row>
    <row r="97" spans="1:6" x14ac:dyDescent="0.2">
      <c r="A97" t="s">
        <v>96</v>
      </c>
      <c r="B97" s="2">
        <f t="shared" si="2"/>
        <v>2018</v>
      </c>
      <c r="C97" s="2">
        <f t="shared" si="3"/>
        <v>4</v>
      </c>
      <c r="D97" s="3">
        <v>526763.69999999995</v>
      </c>
      <c r="E97" s="3">
        <f>Poland_GVA[[#This Row],[GVA]]-D96</f>
        <v>61917.29999999993</v>
      </c>
      <c r="F97" s="3">
        <f>Poland_GVA[[#This Row],[GVA_NOTREND]]-_xlfn.XLOOKUP(Poland_GVA[[#This Row],[QUARTER]],Indicators[QUARTER],Indicators[CLEANED],0)</f>
        <v>21291.216317204235</v>
      </c>
    </row>
    <row r="98" spans="1:6" x14ac:dyDescent="0.2">
      <c r="A98" t="s">
        <v>97</v>
      </c>
      <c r="B98" s="2">
        <f t="shared" si="2"/>
        <v>2019</v>
      </c>
      <c r="C98" s="2">
        <f t="shared" si="3"/>
        <v>1</v>
      </c>
      <c r="D98" s="3">
        <v>474780.8</v>
      </c>
      <c r="E98" s="3">
        <f>Poland_GVA[[#This Row],[GVA]]-D97</f>
        <v>-51982.899999999965</v>
      </c>
      <c r="F98" s="3">
        <f>Poland_GVA[[#This Row],[GVA_NOTREND]]-_xlfn.XLOOKUP(Poland_GVA[[#This Row],[QUARTER]],Indicators[QUARTER],Indicators[CLEANED],0)</f>
        <v>-3067.0603494623356</v>
      </c>
    </row>
    <row r="99" spans="1:6" x14ac:dyDescent="0.2">
      <c r="A99" t="s">
        <v>98</v>
      </c>
      <c r="B99" s="2">
        <f t="shared" si="2"/>
        <v>2019</v>
      </c>
      <c r="C99" s="2">
        <f t="shared" si="3"/>
        <v>2</v>
      </c>
      <c r="D99" s="3">
        <v>489456.2</v>
      </c>
      <c r="E99" s="3">
        <f>Poland_GVA[[#This Row],[GVA]]-D98</f>
        <v>14675.400000000023</v>
      </c>
      <c r="F99" s="3">
        <f>Poland_GVA[[#This Row],[GVA_NOTREND]]-_xlfn.XLOOKUP(Poland_GVA[[#This Row],[QUARTER]],Indicators[QUARTER],Indicators[CLEANED],0)</f>
        <v>10246.587715053793</v>
      </c>
    </row>
    <row r="100" spans="1:6" x14ac:dyDescent="0.2">
      <c r="A100" t="s">
        <v>99</v>
      </c>
      <c r="B100" s="2">
        <f t="shared" si="2"/>
        <v>2019</v>
      </c>
      <c r="C100" s="2">
        <f t="shared" si="3"/>
        <v>3</v>
      </c>
      <c r="D100" s="3">
        <v>503638.8</v>
      </c>
      <c r="E100" s="3">
        <f>Poland_GVA[[#This Row],[GVA]]-D99</f>
        <v>14182.599999999977</v>
      </c>
      <c r="F100" s="3">
        <f>Poland_GVA[[#This Row],[GVA_NOTREND]]-_xlfn.XLOOKUP(Poland_GVA[[#This Row],[QUARTER]],Indicators[QUARTER],Indicators[CLEANED],0)</f>
        <v>10321.656317204277</v>
      </c>
    </row>
    <row r="101" spans="1:6" x14ac:dyDescent="0.2">
      <c r="A101" t="s">
        <v>100</v>
      </c>
      <c r="B101" s="2">
        <f t="shared" si="2"/>
        <v>2019</v>
      </c>
      <c r="C101" s="2">
        <f t="shared" si="3"/>
        <v>4</v>
      </c>
      <c r="D101" s="3">
        <v>568995.69999999995</v>
      </c>
      <c r="E101" s="3">
        <f>Poland_GVA[[#This Row],[GVA]]-D100</f>
        <v>65356.899999999965</v>
      </c>
      <c r="F101" s="3">
        <f>Poland_GVA[[#This Row],[GVA_NOTREND]]-_xlfn.XLOOKUP(Poland_GVA[[#This Row],[QUARTER]],Indicators[QUARTER],Indicators[CLEANED],0)</f>
        <v>24730.81631720427</v>
      </c>
    </row>
    <row r="102" spans="1:6" x14ac:dyDescent="0.2">
      <c r="A102" t="s">
        <v>101</v>
      </c>
      <c r="B102" s="2">
        <f t="shared" si="2"/>
        <v>2020</v>
      </c>
      <c r="C102" s="2">
        <f t="shared" si="3"/>
        <v>1</v>
      </c>
      <c r="D102" s="3">
        <v>509709.5</v>
      </c>
      <c r="E102" s="3">
        <f>Poland_GVA[[#This Row],[GVA]]-D101</f>
        <v>-59286.199999999953</v>
      </c>
      <c r="F102" s="3">
        <f>Poland_GVA[[#This Row],[GVA_NOTREND]]-_xlfn.XLOOKUP(Poland_GVA[[#This Row],[QUARTER]],Indicators[QUARTER],Indicators[CLEANED],0)</f>
        <v>-10370.360349462324</v>
      </c>
    </row>
    <row r="103" spans="1:6" x14ac:dyDescent="0.2">
      <c r="A103" t="s">
        <v>102</v>
      </c>
      <c r="B103" s="2">
        <f t="shared" si="2"/>
        <v>2020</v>
      </c>
      <c r="C103" s="2">
        <f t="shared" si="3"/>
        <v>2</v>
      </c>
      <c r="D103" s="3">
        <v>473153.3</v>
      </c>
      <c r="E103" s="3">
        <f>Poland_GVA[[#This Row],[GVA]]-D102</f>
        <v>-36556.200000000012</v>
      </c>
      <c r="F103" s="3">
        <f>Poland_GVA[[#This Row],[GVA_NOTREND]]-_xlfn.XLOOKUP(Poland_GVA[[#This Row],[QUARTER]],Indicators[QUARTER],Indicators[CLEANED],0)</f>
        <v>-40985.012284946242</v>
      </c>
    </row>
    <row r="104" spans="1:6" x14ac:dyDescent="0.2">
      <c r="A104" t="s">
        <v>103</v>
      </c>
      <c r="B104" s="2">
        <f t="shared" si="2"/>
        <v>2020</v>
      </c>
      <c r="C104" s="2">
        <f t="shared" si="3"/>
        <v>3</v>
      </c>
      <c r="D104" s="3">
        <v>517385.4</v>
      </c>
      <c r="E104" s="3">
        <f>Poland_GVA[[#This Row],[GVA]]-D103</f>
        <v>44232.100000000035</v>
      </c>
      <c r="F104" s="3">
        <f>Poland_GVA[[#This Row],[GVA_NOTREND]]-_xlfn.XLOOKUP(Poland_GVA[[#This Row],[QUARTER]],Indicators[QUARTER],Indicators[CLEANED],0)</f>
        <v>40371.156317204332</v>
      </c>
    </row>
    <row r="105" spans="1:6" x14ac:dyDescent="0.2">
      <c r="A105" t="s">
        <v>104</v>
      </c>
      <c r="B105" s="2">
        <f t="shared" si="2"/>
        <v>2020</v>
      </c>
      <c r="C105" s="2">
        <f t="shared" si="3"/>
        <v>4</v>
      </c>
      <c r="D105" s="3">
        <v>584580.9</v>
      </c>
      <c r="E105" s="3">
        <f>Poland_GVA[[#This Row],[GVA]]-D104</f>
        <v>67195.5</v>
      </c>
      <c r="F105" s="3">
        <f>Poland_GVA[[#This Row],[GVA_NOTREND]]-_xlfn.XLOOKUP(Poland_GVA[[#This Row],[QUARTER]],Indicators[QUARTER],Indicators[CLEANED],0)</f>
        <v>26569.416317204305</v>
      </c>
    </row>
    <row r="106" spans="1:6" x14ac:dyDescent="0.2">
      <c r="A106" t="s">
        <v>105</v>
      </c>
      <c r="B106" s="2">
        <f t="shared" si="2"/>
        <v>2021</v>
      </c>
      <c r="C106" s="2">
        <f t="shared" si="3"/>
        <v>1</v>
      </c>
      <c r="D106" s="3">
        <v>531027.4</v>
      </c>
      <c r="E106" s="3">
        <f>Poland_GVA[[#This Row],[GVA]]-D105</f>
        <v>-53553.5</v>
      </c>
      <c r="F106" s="3">
        <f>Poland_GVA[[#This Row],[GVA_NOTREND]]-_xlfn.XLOOKUP(Poland_GVA[[#This Row],[QUARTER]],Indicators[QUARTER],Indicators[CLEANED],0)</f>
        <v>-4637.6603494623705</v>
      </c>
    </row>
    <row r="107" spans="1:6" x14ac:dyDescent="0.2">
      <c r="A107" t="s">
        <v>106</v>
      </c>
      <c r="B107" s="2">
        <f t="shared" si="2"/>
        <v>2021</v>
      </c>
      <c r="C107" s="2">
        <f t="shared" si="3"/>
        <v>2</v>
      </c>
      <c r="D107" s="3">
        <v>548448.69999999995</v>
      </c>
      <c r="E107" s="3">
        <f>Poland_GVA[[#This Row],[GVA]]-D106</f>
        <v>17421.29999999993</v>
      </c>
      <c r="F107" s="3">
        <f>Poland_GVA[[#This Row],[GVA_NOTREND]]-_xlfn.XLOOKUP(Poland_GVA[[#This Row],[QUARTER]],Indicators[QUARTER],Indicators[CLEANED],0)</f>
        <v>12992.4877150537</v>
      </c>
    </row>
    <row r="108" spans="1:6" x14ac:dyDescent="0.2">
      <c r="A108" t="s">
        <v>107</v>
      </c>
      <c r="B108" s="2">
        <f t="shared" si="2"/>
        <v>2021</v>
      </c>
      <c r="C108" s="2">
        <f t="shared" si="3"/>
        <v>3</v>
      </c>
      <c r="D108" s="3">
        <v>585019.9</v>
      </c>
      <c r="E108" s="3">
        <f>Poland_GVA[[#This Row],[GVA]]-D107</f>
        <v>36571.20000000007</v>
      </c>
      <c r="F108" s="3">
        <f>Poland_GVA[[#This Row],[GVA_NOTREND]]-_xlfn.XLOOKUP(Poland_GVA[[#This Row],[QUARTER]],Indicators[QUARTER],Indicators[CLEANED],0)</f>
        <v>32710.25631720437</v>
      </c>
    </row>
    <row r="109" spans="1:6" x14ac:dyDescent="0.2">
      <c r="A109" t="s">
        <v>108</v>
      </c>
      <c r="B109" s="2">
        <f t="shared" si="2"/>
        <v>2021</v>
      </c>
      <c r="C109" s="2">
        <f t="shared" si="3"/>
        <v>4</v>
      </c>
      <c r="D109" s="3">
        <v>655913.69999999995</v>
      </c>
      <c r="E109" s="3">
        <f>Poland_GVA[[#This Row],[GVA]]-D108</f>
        <v>70893.79999999993</v>
      </c>
      <c r="F109" s="3">
        <f>Poland_GVA[[#This Row],[GVA_NOTREND]]-_xlfn.XLOOKUP(Poland_GVA[[#This Row],[QUARTER]],Indicators[QUARTER],Indicators[CLEANED],0)</f>
        <v>30267.716317204235</v>
      </c>
    </row>
    <row r="110" spans="1:6" x14ac:dyDescent="0.2">
      <c r="A110" t="s">
        <v>109</v>
      </c>
      <c r="B110" s="2">
        <f t="shared" si="2"/>
        <v>2022</v>
      </c>
      <c r="C110" s="2">
        <f t="shared" si="3"/>
        <v>1</v>
      </c>
      <c r="D110" s="3">
        <v>622993.80000000005</v>
      </c>
      <c r="E110" s="3">
        <f>Poland_GVA[[#This Row],[GVA]]-D109</f>
        <v>-32919.899999999907</v>
      </c>
      <c r="F110" s="3">
        <f>Poland_GVA[[#This Row],[GVA_NOTREND]]-_xlfn.XLOOKUP(Poland_GVA[[#This Row],[QUARTER]],Indicators[QUARTER],Indicators[CLEANED],0)</f>
        <v>15995.939650537723</v>
      </c>
    </row>
    <row r="111" spans="1:6" x14ac:dyDescent="0.2">
      <c r="A111" t="s">
        <v>110</v>
      </c>
      <c r="B111" s="2">
        <f t="shared" si="2"/>
        <v>2022</v>
      </c>
      <c r="C111" s="2">
        <f t="shared" si="3"/>
        <v>2</v>
      </c>
      <c r="D111" s="3">
        <v>647440.69999999995</v>
      </c>
      <c r="E111" s="3">
        <f>Poland_GVA[[#This Row],[GVA]]-D110</f>
        <v>24446.899999999907</v>
      </c>
      <c r="F111" s="3">
        <f>Poland_GVA[[#This Row],[GVA_NOTREND]]-_xlfn.XLOOKUP(Poland_GVA[[#This Row],[QUARTER]],Indicators[QUARTER],Indicators[CLEANED],0)</f>
        <v>20018.087715053676</v>
      </c>
    </row>
    <row r="112" spans="1:6" x14ac:dyDescent="0.2">
      <c r="A112" t="s">
        <v>111</v>
      </c>
      <c r="B112" s="2">
        <f t="shared" si="2"/>
        <v>2022</v>
      </c>
      <c r="C112" s="2">
        <f t="shared" si="3"/>
        <v>3</v>
      </c>
      <c r="D112" s="3">
        <v>702235</v>
      </c>
      <c r="E112" s="3">
        <f>Poland_GVA[[#This Row],[GVA]]-D111</f>
        <v>54794.300000000047</v>
      </c>
      <c r="F112" s="3">
        <f>Poland_GVA[[#This Row],[GVA_NOTREND]]-_xlfn.XLOOKUP(Poland_GVA[[#This Row],[QUARTER]],Indicators[QUARTER],Indicators[CLEANED],0)</f>
        <v>50933.356317204343</v>
      </c>
    </row>
    <row r="113" spans="1:6" x14ac:dyDescent="0.2">
      <c r="A113" t="s">
        <v>112</v>
      </c>
      <c r="B113" s="2">
        <f t="shared" si="2"/>
        <v>2022</v>
      </c>
      <c r="C113" s="2">
        <f t="shared" si="3"/>
        <v>4</v>
      </c>
      <c r="D113" s="3">
        <v>793577</v>
      </c>
      <c r="E113" s="3">
        <f>Poland_GVA[[#This Row],[GVA]]-D112</f>
        <v>91342</v>
      </c>
      <c r="F113" s="3">
        <f>Poland_GVA[[#This Row],[GVA_NOTREND]]-_xlfn.XLOOKUP(Poland_GVA[[#This Row],[QUARTER]],Indicators[QUARTER],Indicators[CLEANED],0)</f>
        <v>50715.916317204305</v>
      </c>
    </row>
    <row r="114" spans="1:6" x14ac:dyDescent="0.2">
      <c r="A114" t="s">
        <v>113</v>
      </c>
      <c r="B114" s="2">
        <f t="shared" si="2"/>
        <v>2023</v>
      </c>
      <c r="C114" s="2">
        <f t="shared" si="3"/>
        <v>1</v>
      </c>
      <c r="D114" s="3">
        <v>722500.8</v>
      </c>
      <c r="E114" s="3">
        <f>Poland_GVA[[#This Row],[GVA]]-D113</f>
        <v>-71076.199999999953</v>
      </c>
      <c r="F114" s="3">
        <f>Poland_GVA[[#This Row],[GVA_NOTREND]]-_xlfn.XLOOKUP(Poland_GVA[[#This Row],[QUARTER]],Indicators[QUARTER],Indicators[CLEANED],0)</f>
        <v>-22160.360349462324</v>
      </c>
    </row>
    <row r="115" spans="1:6" x14ac:dyDescent="0.2">
      <c r="A115" t="s">
        <v>114</v>
      </c>
      <c r="B115" s="2">
        <f t="shared" si="2"/>
        <v>2023</v>
      </c>
      <c r="C115" s="2">
        <f t="shared" si="3"/>
        <v>2</v>
      </c>
      <c r="D115" s="3">
        <v>744773.4</v>
      </c>
      <c r="E115" s="3">
        <f>Poland_GVA[[#This Row],[GVA]]-D114</f>
        <v>22272.599999999977</v>
      </c>
      <c r="F115" s="3">
        <f>Poland_GVA[[#This Row],[GVA_NOTREND]]-_xlfn.XLOOKUP(Poland_GVA[[#This Row],[QUARTER]],Indicators[QUARTER],Indicators[CLEANED],0)</f>
        <v>17843.787715053746</v>
      </c>
    </row>
    <row r="116" spans="1:6" x14ac:dyDescent="0.2">
      <c r="A116" t="s">
        <v>115</v>
      </c>
      <c r="B116" s="2">
        <f t="shared" si="2"/>
        <v>2023</v>
      </c>
      <c r="C116" s="2">
        <f t="shared" si="3"/>
        <v>3</v>
      </c>
      <c r="D116" s="3">
        <v>760667.4</v>
      </c>
      <c r="E116" s="3">
        <f>Poland_GVA[[#This Row],[GVA]]-D115</f>
        <v>15894</v>
      </c>
      <c r="F116" s="3">
        <f>Poland_GVA[[#This Row],[GVA_NOTREND]]-_xlfn.XLOOKUP(Poland_GVA[[#This Row],[QUARTER]],Indicators[QUARTER],Indicators[CLEANED],0)</f>
        <v>12033.0563172043</v>
      </c>
    </row>
    <row r="117" spans="1:6" x14ac:dyDescent="0.2">
      <c r="A117" t="s">
        <v>116</v>
      </c>
      <c r="B117" s="2">
        <f t="shared" si="2"/>
        <v>2023</v>
      </c>
      <c r="C117" s="2">
        <f t="shared" si="3"/>
        <v>4</v>
      </c>
      <c r="D117" s="3">
        <v>857993.4</v>
      </c>
      <c r="E117" s="3">
        <f>Poland_GVA[[#This Row],[GVA]]-D116</f>
        <v>97326</v>
      </c>
      <c r="F117" s="3">
        <f>Poland_GVA[[#This Row],[GVA_NOTREND]]-_xlfn.XLOOKUP(Poland_GVA[[#This Row],[QUARTER]],Indicators[QUARTER],Indicators[CLEANED],0)</f>
        <v>56699.916317204305</v>
      </c>
    </row>
    <row r="118" spans="1:6" x14ac:dyDescent="0.2">
      <c r="A118" t="s">
        <v>117</v>
      </c>
      <c r="B118" s="2">
        <f t="shared" si="2"/>
        <v>2024</v>
      </c>
      <c r="C118" s="2">
        <f t="shared" si="3"/>
        <v>1</v>
      </c>
      <c r="D118" s="3">
        <v>748145</v>
      </c>
      <c r="E118" s="3">
        <f>Poland_GVA[[#This Row],[GVA]]-D117</f>
        <v>-109848.40000000002</v>
      </c>
      <c r="F118" s="3">
        <f>Poland_GVA[[#This Row],[GVA_NOTREND]]-_xlfn.XLOOKUP(Poland_GVA[[#This Row],[QUARTER]],Indicators[QUARTER],Indicators[CLEANED],0)</f>
        <v>-60932.560349462394</v>
      </c>
    </row>
    <row r="119" spans="1:6" x14ac:dyDescent="0.2">
      <c r="A119" t="s">
        <v>118</v>
      </c>
      <c r="B119" s="2">
        <f t="shared" si="2"/>
        <v>2024</v>
      </c>
      <c r="C119" s="2">
        <f t="shared" si="3"/>
        <v>2</v>
      </c>
      <c r="D119" s="3">
        <v>772052</v>
      </c>
      <c r="E119" s="3">
        <f>Poland_GVA[[#This Row],[GVA]]-D118</f>
        <v>23907</v>
      </c>
      <c r="F119" s="3">
        <f>Poland_GVA[[#This Row],[GVA_NOTREND]]-_xlfn.XLOOKUP(Poland_GVA[[#This Row],[QUARTER]],Indicators[QUARTER],Indicators[CLEANED],0)</f>
        <v>19478.187715053769</v>
      </c>
    </row>
    <row r="120" spans="1:6" x14ac:dyDescent="0.2">
      <c r="A120" t="s">
        <v>119</v>
      </c>
      <c r="B120" s="2">
        <f t="shared" si="2"/>
        <v>2024</v>
      </c>
      <c r="C120" s="2">
        <f t="shared" si="3"/>
        <v>3</v>
      </c>
      <c r="D120" s="3">
        <v>807767.9</v>
      </c>
      <c r="E120" s="3">
        <f>Poland_GVA[[#This Row],[GVA]]-D119</f>
        <v>35715.900000000023</v>
      </c>
      <c r="F120" s="3">
        <f>Poland_GVA[[#This Row],[GVA_NOTREND]]-_xlfn.XLOOKUP(Poland_GVA[[#This Row],[QUARTER]],Indicators[QUARTER],Indicators[CLEANED],0)</f>
        <v>31854.956317204324</v>
      </c>
    </row>
    <row r="121" spans="1:6" x14ac:dyDescent="0.2">
      <c r="A121" t="s">
        <v>120</v>
      </c>
      <c r="B121" s="2">
        <f t="shared" si="2"/>
        <v>2024</v>
      </c>
      <c r="C121" s="2">
        <f t="shared" si="3"/>
        <v>4</v>
      </c>
      <c r="D121" s="3">
        <v>921249</v>
      </c>
      <c r="E121" s="3">
        <f>Poland_GVA[[#This Row],[GVA]]-D120</f>
        <v>113481.09999999998</v>
      </c>
      <c r="F121" s="3">
        <f>Poland_GVA[[#This Row],[GVA_NOTREND]]-_xlfn.XLOOKUP(Poland_GVA[[#This Row],[QUARTER]],Indicators[QUARTER],Indicators[CLEANED],0)</f>
        <v>72855.016317204281</v>
      </c>
    </row>
    <row r="122" spans="1:6" x14ac:dyDescent="0.2">
      <c r="A122" t="s">
        <v>121</v>
      </c>
      <c r="B122" s="2">
        <f t="shared" si="2"/>
        <v>2025</v>
      </c>
      <c r="C122" s="2">
        <f t="shared" si="3"/>
        <v>1</v>
      </c>
      <c r="D122" s="3">
        <v>785342.5</v>
      </c>
      <c r="E122" s="3">
        <f>Poland_GVA[[#This Row],[GVA]]-D121</f>
        <v>-135906.5</v>
      </c>
      <c r="F122" s="3">
        <f>Poland_GVA[[#This Row],[GVA_NOTREND]]-_xlfn.XLOOKUP(Poland_GVA[[#This Row],[QUARTER]],Indicators[QUARTER],Indicators[CLEANED],0)</f>
        <v>-86990.660349462371</v>
      </c>
    </row>
    <row r="123" spans="1:6" x14ac:dyDescent="0.2">
      <c r="A123" t="s">
        <v>122</v>
      </c>
      <c r="B123" s="2">
        <f t="shared" si="2"/>
        <v>2025</v>
      </c>
      <c r="C123" s="2">
        <f t="shared" si="3"/>
        <v>2</v>
      </c>
      <c r="D123" s="3">
        <v>816793.1</v>
      </c>
      <c r="E123" s="3">
        <f>Poland_GVA[[#This Row],[GVA]]-D122</f>
        <v>31450.599999999977</v>
      </c>
      <c r="F123" s="3">
        <f>Poland_GVA[[#This Row],[GVA_NOTREND]]-_xlfn.XLOOKUP(Poland_GVA[[#This Row],[QUARTER]],Indicators[QUARTER],Indicators[CLEANED],0)</f>
        <v>27021.787715053746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2B4F-4D4D-E348-B995-0F16A8E592B8}">
  <dimension ref="A1:C8"/>
  <sheetViews>
    <sheetView workbookViewId="0">
      <selection activeCell="C11" sqref="C11"/>
    </sheetView>
  </sheetViews>
  <sheetFormatPr baseColWidth="10" defaultRowHeight="16" x14ac:dyDescent="0.2"/>
  <cols>
    <col min="1" max="1" width="28.1640625" bestFit="1" customWidth="1"/>
    <col min="2" max="2" width="12.1640625" style="1" bestFit="1" customWidth="1"/>
    <col min="3" max="3" width="11.83203125" style="1" bestFit="1" customWidth="1"/>
  </cols>
  <sheetData>
    <row r="1" spans="1:3" x14ac:dyDescent="0.2">
      <c r="A1" s="1" t="s">
        <v>125</v>
      </c>
      <c r="B1" s="1" t="s">
        <v>127</v>
      </c>
      <c r="C1" s="1" t="s">
        <v>128</v>
      </c>
    </row>
    <row r="2" spans="1:3" x14ac:dyDescent="0.2">
      <c r="A2" s="2">
        <v>1</v>
      </c>
      <c r="B2" s="1">
        <f>AVERAGEIF(Poland_GVA[QUARTER],Indicators[[#This Row],[QUARTER]],Poland_GVA[GVA_NOTREND])</f>
        <v>-42770.209999999992</v>
      </c>
      <c r="C2" s="1" cm="1">
        <f t="array" ref="C2">Indicators[[#This Row],[RAW]]-Table3[AVERAGE_RAW_INDICATORS]</f>
        <v>-48915.839650537629</v>
      </c>
    </row>
    <row r="3" spans="1:3" x14ac:dyDescent="0.2">
      <c r="A3" s="2">
        <v>2</v>
      </c>
      <c r="B3" s="1">
        <f>AVERAGEIF(Poland_GVA[QUARTER],Indicators[[#This Row],[QUARTER]],Poland_GVA[GVA_NOTREND])</f>
        <v>10574.441935483866</v>
      </c>
      <c r="C3" s="1" cm="1">
        <f t="array" ref="C3">Indicators[[#This Row],[RAW]]-Table3[AVERAGE_RAW_INDICATORS]</f>
        <v>4428.8122849462297</v>
      </c>
    </row>
    <row r="4" spans="1:3" x14ac:dyDescent="0.2">
      <c r="A4" s="2">
        <v>3</v>
      </c>
      <c r="B4" s="1">
        <f>AVERAGEIF(Poland_GVA[QUARTER],Indicators[[#This Row],[QUARTER]],Poland_GVA[GVA_NOTREND])</f>
        <v>10006.573333333337</v>
      </c>
      <c r="C4" s="1" cm="1">
        <f t="array" ref="C4">Indicators[[#This Row],[RAW]]-Table3[AVERAGE_RAW_INDICATORS]</f>
        <v>3860.9436827957006</v>
      </c>
    </row>
    <row r="5" spans="1:3" x14ac:dyDescent="0.2">
      <c r="A5" s="2">
        <v>4</v>
      </c>
      <c r="B5" s="1">
        <f>AVERAGEIF(Poland_GVA[QUARTER],Indicators[[#This Row],[QUARTER]],Poland_GVA[GVA_NOTREND])</f>
        <v>46771.713333333333</v>
      </c>
      <c r="C5" s="1" cm="1">
        <f t="array" ref="C5">Indicators[[#This Row],[RAW]]-Table3[AVERAGE_RAW_INDICATORS]</f>
        <v>40626.083682795695</v>
      </c>
    </row>
    <row r="7" spans="1:3" x14ac:dyDescent="0.2">
      <c r="A7" s="1" t="s">
        <v>129</v>
      </c>
    </row>
    <row r="8" spans="1:3" x14ac:dyDescent="0.2">
      <c r="A8" s="1">
        <f>AVERAGE(Indicators[RAW])</f>
        <v>6145.6296505376367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6D5D51-A407-0C4D-B91B-18B9F6F5FF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Poland GVA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2025-10-29T08:58:24Z</dcterms:created>
  <dcterms:modified xsi:type="dcterms:W3CDTF">2025-11-07T12:05:05Z</dcterms:modified>
</cp:coreProperties>
</file>